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angsinglun/private-repository/Income And Expense Forecast/"/>
    </mc:Choice>
  </mc:AlternateContent>
  <xr:revisionPtr revIDLastSave="0" documentId="13_ncr:1_{81BA09B0-C033-D84D-A75B-1939B35A9AFD}" xr6:coauthVersionLast="47" xr6:coauthVersionMax="47" xr10:uidLastSave="{00000000-0000-0000-0000-000000000000}"/>
  <bookViews>
    <workbookView xWindow="0" yWindow="600" windowWidth="51200" windowHeight="26400" tabRatio="500" activeTab="1" xr2:uid="{00000000-000D-0000-FFFF-FFFF00000000}"/>
  </bookViews>
  <sheets>
    <sheet name="Cover" sheetId="4" r:id="rId1"/>
    <sheet name="April 2026 - June 2026" sheetId="1" r:id="rId2"/>
    <sheet name="July 2026- September 2026" sheetId="2" r:id="rId3"/>
    <sheet name="October 2026- December 2026" sheetId="3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" i="3" l="1"/>
  <c r="C6" i="3"/>
  <c r="E18" i="3"/>
  <c r="C8" i="2"/>
  <c r="E32" i="2"/>
  <c r="C6" i="2"/>
  <c r="C67" i="3"/>
  <c r="C63" i="3"/>
  <c r="C55" i="3"/>
  <c r="C52" i="3"/>
  <c r="C49" i="3"/>
  <c r="C45" i="3"/>
  <c r="C38" i="3"/>
  <c r="E30" i="3"/>
  <c r="E24" i="3"/>
  <c r="C8" i="3"/>
  <c r="C5" i="3"/>
  <c r="C3" i="3"/>
  <c r="C3" i="2"/>
  <c r="C4" i="2"/>
  <c r="C76" i="1"/>
  <c r="C72" i="1"/>
  <c r="C64" i="1"/>
  <c r="C61" i="1"/>
  <c r="C58" i="1"/>
  <c r="C54" i="1"/>
  <c r="C47" i="1"/>
  <c r="C77" i="1" s="1"/>
  <c r="E39" i="1"/>
  <c r="E30" i="1"/>
  <c r="E21" i="1"/>
  <c r="C9" i="1"/>
  <c r="C9" i="2" s="1"/>
  <c r="C69" i="2"/>
  <c r="C65" i="2"/>
  <c r="C57" i="2"/>
  <c r="C54" i="2"/>
  <c r="C51" i="2"/>
  <c r="C47" i="2"/>
  <c r="C40" i="2"/>
  <c r="E25" i="2"/>
  <c r="E16" i="2"/>
  <c r="C5" i="2"/>
  <c r="E93" i="1" l="1"/>
  <c r="E94" i="1" s="1"/>
  <c r="E98" i="1" s="1"/>
  <c r="E105" i="1" s="1"/>
  <c r="E110" i="1" s="1"/>
  <c r="E115" i="1" s="1"/>
  <c r="E75" i="2" s="1"/>
  <c r="E80" i="2" s="1"/>
  <c r="E84" i="2" s="1"/>
  <c r="E104" i="1"/>
  <c r="E114" i="1"/>
  <c r="C9" i="3"/>
  <c r="C68" i="3"/>
  <c r="C70" i="2"/>
  <c r="E79" i="2" s="1"/>
  <c r="E99" i="3" l="1"/>
  <c r="E89" i="3"/>
  <c r="E78" i="3"/>
  <c r="E79" i="3" s="1"/>
  <c r="E90" i="2"/>
  <c r="E91" i="2" s="1"/>
  <c r="E96" i="2" s="1"/>
  <c r="E101" i="2"/>
  <c r="E102" i="2" l="1"/>
  <c r="E73" i="3" s="1"/>
  <c r="E83" i="3" l="1"/>
  <c r="E90" i="3" s="1"/>
  <c r="E95" i="3" s="1"/>
  <c r="E100" i="3" s="1"/>
</calcChain>
</file>

<file path=xl/sharedStrings.xml><?xml version="1.0" encoding="utf-8"?>
<sst xmlns="http://schemas.openxmlformats.org/spreadsheetml/2006/main" count="436" uniqueCount="185">
  <si>
    <t>Assets</t>
  </si>
  <si>
    <t>Coins And Cash</t>
  </si>
  <si>
    <t>Alipay HK</t>
  </si>
  <si>
    <t>Octopus Remain Value</t>
  </si>
  <si>
    <t>Total Asset</t>
  </si>
  <si>
    <t>April 20th - May 19th 2026 Revenue / Defered Debts Or Expenses</t>
  </si>
  <si>
    <t>Date</t>
  </si>
  <si>
    <t>Name</t>
  </si>
  <si>
    <t>Description</t>
  </si>
  <si>
    <t>Amount</t>
  </si>
  <si>
    <t>20th April 2026</t>
  </si>
  <si>
    <t>Social Welfare</t>
  </si>
  <si>
    <t>Disability Allowance</t>
  </si>
  <si>
    <t>Communication</t>
  </si>
  <si>
    <t xml:space="preserve">China Mobile </t>
  </si>
  <si>
    <t>e-cigarette</t>
  </si>
  <si>
    <t>Already Brought E-cigarette on March enough for this month</t>
  </si>
  <si>
    <t>Optifast plus</t>
  </si>
  <si>
    <t>Sell it</t>
  </si>
  <si>
    <t>Loan</t>
  </si>
  <si>
    <t>Borrow from Lawrence</t>
  </si>
  <si>
    <t>Mother</t>
  </si>
  <si>
    <t>1. Return back From Mom HKT Fixed Line Services - $140
2. Remaining Mother Credit Card to puchase from Amazon - $7.6
3. Borrow $40</t>
  </si>
  <si>
    <t>Netflix Not Yet Registered</t>
  </si>
  <si>
    <t>21st April 2026</t>
  </si>
  <si>
    <t>Octopus</t>
  </si>
  <si>
    <t>Topup $50 For Octopus</t>
  </si>
  <si>
    <t>Forecast Total</t>
  </si>
  <si>
    <t>May 20th - June 17th 2026 Revenue / Defered Debts Or Expenses</t>
  </si>
  <si>
    <t>20th May 2026</t>
  </si>
  <si>
    <t>Early June 2026</t>
  </si>
  <si>
    <t>Additional One Month Disability Allowance</t>
  </si>
  <si>
    <t>Buy 5 give 1 discount for $695 original $900</t>
  </si>
  <si>
    <t>1. Topup For Octopus Card (Credit $50).
2. Topup For Octopus Card (Credit $50) on 23/05.
3. Topup For Octopus Card (Credit $50) on 01/06.</t>
  </si>
  <si>
    <t>June 18th - August 19th 2026 Revenue / Defered Debts Or Expenses</t>
  </si>
  <si>
    <t>20th June 2026</t>
  </si>
  <si>
    <t>Cancel Netflix</t>
  </si>
  <si>
    <t>Fixed Expense For the Year 2026 April - June 2026</t>
  </si>
  <si>
    <t>Mobile And Communications</t>
  </si>
  <si>
    <t>Netflix</t>
  </si>
  <si>
    <t>Premium</t>
  </si>
  <si>
    <t>China Mobile</t>
  </si>
  <si>
    <t>5G Plan</t>
  </si>
  <si>
    <t>Total Payment</t>
  </si>
  <si>
    <t>Credit Card Installments/Expense</t>
  </si>
  <si>
    <t>Citi Bank</t>
  </si>
  <si>
    <t xml:space="preserve">SC Bank - Smart </t>
  </si>
  <si>
    <t>Bank Of China</t>
  </si>
  <si>
    <t>HSBC Red</t>
  </si>
  <si>
    <t>Total Installments</t>
  </si>
  <si>
    <t>Donation</t>
  </si>
  <si>
    <t xml:space="preserve">Traverse Media </t>
  </si>
  <si>
    <t>Youtube Javascript Channel</t>
  </si>
  <si>
    <t>Orbis</t>
  </si>
  <si>
    <t>Orbis Eye Flight</t>
  </si>
  <si>
    <t>Total Donation</t>
  </si>
  <si>
    <t>Insurance</t>
  </si>
  <si>
    <t>AIA</t>
  </si>
  <si>
    <t>AIA Insurance</t>
  </si>
  <si>
    <t>Total Insurance</t>
  </si>
  <si>
    <t>House Expense</t>
  </si>
  <si>
    <t>Salary</t>
  </si>
  <si>
    <t>Mom</t>
  </si>
  <si>
    <t>Total House Expense</t>
  </si>
  <si>
    <t>Other Expense</t>
  </si>
  <si>
    <t>Other Stuff</t>
  </si>
  <si>
    <t>Food, Transport….</t>
  </si>
  <si>
    <t>Cigarettes</t>
  </si>
  <si>
    <t>Weight Loss</t>
  </si>
  <si>
    <t>Optifast weight Loss Program 
(3 Months Program)</t>
  </si>
  <si>
    <t>Entertainment</t>
  </si>
  <si>
    <t>Sportify Music</t>
  </si>
  <si>
    <t>Hair Cut</t>
  </si>
  <si>
    <t xml:space="preserve">Visit Doctor </t>
  </si>
  <si>
    <t>Vist Psychology Doctor</t>
  </si>
  <si>
    <t>Total Other Expense</t>
  </si>
  <si>
    <t>Debts</t>
  </si>
  <si>
    <t>Lawrence</t>
  </si>
  <si>
    <t>Total Debts</t>
  </si>
  <si>
    <t>Monthly Total</t>
  </si>
  <si>
    <t>Principal</t>
  </si>
  <si>
    <t>Blance Brought Forward</t>
  </si>
  <si>
    <t>MAGGI Orginal Mashed Potato with Beef 12x35g * 2</t>
  </si>
  <si>
    <t>~ U-store - $82.4
~ U-store Ovaltine malted milk $25
~ OK Store - $63.6
~ Wellcome supermarket $49.5
~ U-store 26/04 - $34.9
~ Best Mart 360 26/04  - $25
~ OK Store 27/04 - $23
~ St Honer 27/04 - $31
~ OK Store 03/05 - $29.5
~ Best Mart 360 06/05 - $35
~ OK Store 13/05 - $29.5
~ OK Store 16/05 - $27.5
~ A1 Bakery 17/05- $42
~ U-store 18/05 - $9.8</t>
  </si>
  <si>
    <t xml:space="preserve">~ Optifast weight Loss Program </t>
  </si>
  <si>
    <t>~ Topup $50 For Octopus</t>
  </si>
  <si>
    <t>~ Brought Classic Crocs - $418</t>
  </si>
  <si>
    <t>~ E-cigarette buds 6 packets plus delivery fees</t>
  </si>
  <si>
    <t>~ Transportation To Prince Edward
~ Transportation To Hospital</t>
  </si>
  <si>
    <t>~ Pay HKT Fixed Telephone Line Services 2 months - $136</t>
  </si>
  <si>
    <t>~ Pay Water Fees</t>
  </si>
  <si>
    <t>~ Amazon clairol hair bleaching plus insoles - $366.38</t>
  </si>
  <si>
    <t>Fixed Expense</t>
  </si>
  <si>
    <r>
      <rPr>
        <b/>
        <sz val="11"/>
        <color rgb="FFFF0000"/>
        <rFont val="Calibri"/>
        <family val="2"/>
        <charset val="1"/>
      </rPr>
      <t xml:space="preserve">Total Debts / </t>
    </r>
    <r>
      <rPr>
        <b/>
        <sz val="11"/>
        <color rgb="FF4A86E8"/>
        <rFont val="Calibri"/>
        <family val="2"/>
        <charset val="1"/>
      </rPr>
      <t>Credits</t>
    </r>
  </si>
  <si>
    <t>Balance Brought Forward From April 2026</t>
  </si>
  <si>
    <t>~ Payback to Lawrence (postpone to additional one month allowance for paying back)
~ Payback to Mom</t>
  </si>
  <si>
    <t>~ K-Swiss - $399
~ Uniqlo Underware and Socks - $315
~ Uniqlo T Shirt - $395
   ~ UNISEX DRY COLOR CREW NECK T-SHIRT NAVY 4XL - $49
   ~ MEN DRY V NECK T-SHIRT 484845 NAVY 4XL - $49
   ~ UNISEX NY POP ART UT (SHORT SLEEVE GRAPHIC T-SHIRT) 485062 BLACK 3XL - $99
   ~ UNISEX PEANUTS UT (SHORT SLEEVE GRAPHIC T-SHIRT) 485058 NATURAL 3XL - $99
   ~ UNISEX MAGIC FOR ALL ICONS UT (SHORT SLEEVE GRAPHIC T-SHIRT) 484758 3XL - $99</t>
  </si>
  <si>
    <t>Balance Brought Forward From May 2026</t>
  </si>
  <si>
    <t>July 20th - August 19th 2026 Revenue / Defered Debts Or Expenses</t>
  </si>
  <si>
    <t>20th July 2026</t>
  </si>
  <si>
    <t>August 20th - September 17th 2026 Revenue / Defered Debts Or Expenses</t>
  </si>
  <si>
    <t>September 18th - October 19th 2026 Revenue / Defered Debts Or Expenses</t>
  </si>
  <si>
    <t>Fixed Expense For the Year 2026 July - September 2026</t>
  </si>
  <si>
    <t>Blance Brough Forward From June 2026</t>
  </si>
  <si>
    <t>Balance Brought Forward From July 2026</t>
  </si>
  <si>
    <t>Balance Brought Forward From August 2026</t>
  </si>
  <si>
    <t>~ Debit For Octopus Card ($50).
~ Debit For Octopus Card ($50) on 23/05.
~ Debit For Octopus Card ($50) on 01/06.
~ Round Trip to Airport on 29/05 - $9.4
~ Trip to Restaurant on 30/05 - $2
~ Trip to Restaurant on 02/05 - $2
~ Trip to East Kwoloon Hospital 08/06 - $4</t>
  </si>
  <si>
    <t>~ Buy additional Cigarette @ $81 each x 6 - $486
~ Donate $100 to Chest Community - $100
~ Pay Fees For HKT Fixed Line Phone - $68
~ Mail Chuk Yuen Post Office - $2.4</t>
  </si>
  <si>
    <t>Broadband</t>
  </si>
  <si>
    <r>
      <t xml:space="preserve">~ Food - $300 ($178.8)
   ~ Shopping on 23/05 - $121.4
   ~ ParkNShop on 24/5 - $14
</t>
    </r>
    <r>
      <rPr>
        <sz val="11"/>
        <color rgb="FF000000"/>
        <rFont val="Calibri"/>
        <family val="2"/>
      </rPr>
      <t xml:space="preserve">   ~ Wellcome on 04/06 - $43.4</t>
    </r>
    <r>
      <rPr>
        <sz val="11"/>
        <color rgb="FF000000"/>
        <rFont val="Calibri"/>
        <family val="2"/>
        <charset val="1"/>
      </rPr>
      <t xml:space="preserve">  
~ Snacks And Drinks - $200 ($703.4)
   ~ Ovaltine Malt Drink 1 bottle - $25
   ~ OK Store 23/05 - $26
   ~ U-Store on 24/05 - $37.8 
   ~ Ovaltine Malt Drink 1 bottle on 26/05 - $25
   ~ U-Store 26/05 - $55.8
   ~ OK Store on 01/06 - $27.5
   ~ OK Store on 03/06 - $25.5
</t>
    </r>
    <r>
      <rPr>
        <sz val="11"/>
        <color rgb="FF000000"/>
        <rFont val="Calibri"/>
        <family val="2"/>
      </rPr>
      <t xml:space="preserve">   ~ Ovaltine Malt Drink 1 bottle on 04/06 - $25
   ~ UStore on 04/06 - $48.3</t>
    </r>
    <r>
      <rPr>
        <sz val="11"/>
        <color rgb="FF000000"/>
        <rFont val="Calibri"/>
        <family val="2"/>
        <charset val="1"/>
      </rPr>
      <t xml:space="preserve">
   ~ DS Groceries 06/06 - $74
   ~ UStore on 08/06 - $21.7
   ~ UStore on 10/06 - $19.5
   ~ UStore on 11/06 - $22.7
   ~ DS Groceries 12/06 - $23
   ~ Mitsui Bakery 12/06 - $18.5
   ~ OK Store 13/06 - $35
   ~ UStore on 14/06 - $35.3
   ~ UStore on 15/06 - $9.8
   ~ OK Store 16/06 - $33
   ~ OK Store 17/06 - $26
   ~ OK Store  17/06 - $107</t>
    </r>
  </si>
  <si>
    <t>1. 20th May 2026 - Give back the Water Fees paid for the government. - $112.3
2. 23rd May 2026 - Mother payback for the shopping. - $100
3. 17th June 2026 - Mother payback for the OK Store - $15</t>
  </si>
  <si>
    <t>1. $300 Rent my Luggage.
2. Borrow $500 from Lawrece.</t>
  </si>
  <si>
    <t>~ Change to OrdInary Cigarette - $360
~ 7-eleven Store buy additional 1 packet cigarette 18/06 - $81
~ OK Store buy additional 1 packet cigarette 18/06 - $81
~ Sunny Stationary 22/06 - $98
~ e-cigarette 07/07 - $300
~ OK Store buy additional 1 packet cigarette 11/07 - $78
~ Brought 3 packets of e-cigarette buds 12/07 - $430</t>
  </si>
  <si>
    <t>~ Food - $300 (108.9)
   ~ ParkNShop 27/06 - $108.9
~ Snack And Drinks - $400 ($761.4)
   ~ OK Store 18/06 - $67
   ~ Chuk Yuen Store 18/06 - $4
   ~ Best Mart 360 18/06 - $25
   ~ Wellcome Supermarket 18/06 - $80.9
   ~ Ustore 18/06 - $48.4
   ~ Yummy Bread 18/06 - $16
   ~ OK Store 21/06 - $30
   ~ DS Groceries 22/06 - $55
   ~ UStore 22/06 - $29.6
   ~ UStore 26/06 - $95.7
   ~ Ustore 28/06 - $31
   ~ OK Store 01/07 - $24
   ~ OK Store 05/07 - $113.1
   ~ OK Store 07/07 - $43.1
   ~ OK Store 11/07 - $18
   ~ Ustore 14/07 - $55.6
   ~ Best Mart 360 16/07 - $25</t>
  </si>
  <si>
    <t>1. Payback For Clothes Washing Detergent.
2. Borrow $100 from Mom.</t>
  </si>
  <si>
    <t>1. Topup For Octopus Card (Credit $100).
2. Topup For Octopus Card (Credit $100) 19/07.</t>
  </si>
  <si>
    <t xml:space="preserve">~ Trip to MetroHotel Mong Kok - $4.6
~ Debit For Octopus Card ($100) on 22/06.
~ Round Trip to Hollywood Plaza on 28/06 - $4
~ Round Trip to East Kowloon Hospital 06/07 - $4
~ Round Trip to Airport 08/07 - $7.4
~ Debit For Octopus Card ($100) on 19/07.
~ Round Trip to Kwai Chung Eldery Hospital 19/07 - $5.5
</t>
  </si>
  <si>
    <t>~ Payback $500 to Lawrence
~ Payback $100 to Mom</t>
  </si>
  <si>
    <t>21st July 2026</t>
  </si>
  <si>
    <t>Cancel hair cut for this current month.</t>
  </si>
  <si>
    <t>06th Aug 2026</t>
  </si>
  <si>
    <t>Debts Or Expenses For the Comming April 20th - May 19th 2026</t>
  </si>
  <si>
    <t>Debts Or Expenses For the Coming May 20th - June 17th 2026</t>
  </si>
  <si>
    <t>Debts Or Expenses For the Comming June 18th - July 19th 2026</t>
  </si>
  <si>
    <t>Debts Or Expenses For the Comming July 20th - August 19th 2026</t>
  </si>
  <si>
    <t>Debts Or Expenses For the Coming August 20th - September 17th 2026</t>
  </si>
  <si>
    <t>Debts Or Expenses For the Comming September 18th - October 19th 2026</t>
  </si>
  <si>
    <t>20th August 2026</t>
  </si>
  <si>
    <t>1. Borrow $100
2. Use Mother Credit Card for shopping HKTVmall. $670.4</t>
  </si>
  <si>
    <t>~ Food
~ Snack And Drinks
   ~ Ok Store 20/07 - $15
   ~ Ok Store 21/07 - $28.4
   ~ Wellcome supermarket 21/07 - $138.4
   ~ Yummy Bread Store 21/07 - $13
   ~ Wellcome supermarket 22/07 - $36
   ~ Ustore 22/07 - $36.6
   ~ Ok Store 25/07 - $32
   ~ Wellcome supermarket 25/07 - $36
   ~ Ustore 27/07 - $24.9
   ~ OK Store 29/07 - $28.5
   ~ Buy a coke at Kwai Chung Eldery Hospital 05/08 - $6.5
   ~ Best Mart 360 05/08 - $26.9
   ~ Ustore 09/08 - $24.9
   ~ HKTVmall 18/08 - $670.4</t>
  </si>
  <si>
    <t>~ OK Store buy additional 1 packet cigarette 20/07 - $78
~ Additional transport fees for e-cigarette 20/07 - $40
~ HKTVmall - Microsoft Office 365 1 year subscribtion 30/07 - $299
~ Round Trip to Kowloon East Hospital 03/08 - $4
~ Round Trip to Kwai Chung Eldery Hospital 05/08 - $3.5
~ Round Trip to Kwai Chung Eldery Hospital 16/08 - $3.5
~ OK Store buy additional 1 packet cigarette 18/08 - $78
~ Single Trip from chuk yuen to Temple Mall 19/08 - $2</t>
  </si>
  <si>
    <t>23rd August 2026</t>
  </si>
  <si>
    <t>Alipay</t>
  </si>
  <si>
    <t>A discount of $3.08 for iHerb payment</t>
  </si>
  <si>
    <t>2nd September 2026</t>
  </si>
  <si>
    <t>18th September 2026</t>
  </si>
  <si>
    <t>3rd September 2026</t>
  </si>
  <si>
    <t>Brother</t>
  </si>
  <si>
    <t>~ Payback $100 to Mom
~ Payback $670.4 to Mom (HKTVmall Online Shopping)
~ Payback $60 to Mom</t>
  </si>
  <si>
    <t>~ Uniqlo (buy $300 - $30 discount)  - 03/09
    ~ UNISEX EZY BARREL JEANS (INSEAM 72-78cm) 488630 / 492035 -$299
    ~ UNISEX ULTRA STRETCH ACTIVE SHORTS (INSEAM 18-21.5cm) 482317 - $99
    ~ MEN COTTON BOXER BRIEFS 482600- $29 x 2</t>
  </si>
  <si>
    <t>~ iHerb Aveeno Lotion 23/08 - $136.64
~ Watsons Revlon color silk 17/09 - $59.9</t>
  </si>
  <si>
    <t>1. Top up $50 for Octopus
2. Top up $50 for Octopus 03/09</t>
  </si>
  <si>
    <t>Partial Food And Snack Prepaid on the Previous Month
~ Food
   ~ HKTV mall 24/08 - $211.4
   ~ HKTV mall 03/09 - $436.5
~ Snack And Drinks
   ~ OK Store 20/08 - $8.5
   ~ Ustore 03/09 - $55.2
   ~ Ustore 05/09 - $9.8</t>
  </si>
  <si>
    <t>20th October 2026</t>
  </si>
  <si>
    <t>Balance Brought Forward From October 2026</t>
  </si>
  <si>
    <t>18th December 2026</t>
  </si>
  <si>
    <t>Fixed Expense For the Year 2026 October - December 2026</t>
  </si>
  <si>
    <t>October 20th - November 19th 2026 Revenue / Defered Debts Or Expenses</t>
  </si>
  <si>
    <t>November 20th - December 17th 2026 Revenue / Defered Debts Or Expenses</t>
  </si>
  <si>
    <t>20th November 2026</t>
  </si>
  <si>
    <t>Debts Or Expenses For the Comming October 20th - November 19th 2026</t>
  </si>
  <si>
    <t>Debts Or Expenses For the Coming November 20th - December 17th 2026</t>
  </si>
  <si>
    <t>Balance Brought Forward From November 2026</t>
  </si>
  <si>
    <t>December 18th - January 19th 2027 Revenue / Defered Debts Or Expenses</t>
  </si>
  <si>
    <t>Debts Or Expenses For the Comming December 18th - January 19th 2027</t>
  </si>
  <si>
    <t>Blance Brough Forward From September 2026</t>
  </si>
  <si>
    <t>1. A gift for birthday $1000 from Lawrence
2. Borrow $500</t>
  </si>
  <si>
    <t>~ Food
~ Snack And Drinks</t>
  </si>
  <si>
    <t>Vist Psychology Doctor plus transport</t>
  </si>
  <si>
    <t>cigarette - 4 packs each pack has 10 packets of cigarette</t>
  </si>
  <si>
    <t>1. Borrow $60
2. Payback Water bill through Alipay $74.1.
3. Borrow $100 ~ 16/09</t>
  </si>
  <si>
    <t xml:space="preserve">~ Debit For Octopus Card ($50). 20/08
~ OK Store buy additional 1 packet cigarette 20/08 - $78
~ Mail Chuk Yuen Post Office - $2.4
~ Additional transport fees for e-cigarette 20/08 - $50
~ Paid Water Supplies Fees 20/08 - $74.1
~ Round Trip to East Kowloon hospital 31/08 - $4
~ Round Trip to East Kowloon hospital 03/09 - $4
~ Debit For Octopus Card ($50). 03/09
~ OK Store buy additional 1 packet cigarette 11/09 - $78
~ OK Store buy additional 1 packet cigarette 12/09 - $78
~ OK Store buy additional 1 packet cigarette 13/09 - $78
~ OK Store buy additional 3 packet cigarette 14/09 - $234
~ OK Store buy additional 2 packet cigarette 16/09 - $156
~ OK Store 16/09 - $20
</t>
  </si>
  <si>
    <t>21st September 2026</t>
  </si>
  <si>
    <t>1. Top up $50 for Octopus 18/09
2. Top up $50 for Octopus 18/09
3. Top up $50 for Octopus 26/09</t>
  </si>
  <si>
    <t>~ Payback $250 to Lawrence
~ Payback $100 to Mom
~ Payback $250 to Lawrence</t>
  </si>
  <si>
    <t>1. A gift for birthday $500 from Mother.
2. Refund from "GoDaddy domain" to moms credit card account. 27/09/2025 - $193.98
3. Refund from "GoDaddy domain" to moms credit card account. 29/09/2025 - $721.86</t>
  </si>
  <si>
    <t>Paypal</t>
  </si>
  <si>
    <t>Income Expense Forecast</t>
  </si>
  <si>
    <t>Your Personal Finance Organizer</t>
  </si>
  <si>
    <t xml:space="preserve">Banks
~ HSBC Bank
~ Bank Of China
~ Standard Chartered Bank
</t>
  </si>
  <si>
    <t>Unit Trusts
~ AIA Insurance
~ MPF</t>
  </si>
  <si>
    <t>Income Expense For the Forecast Year 2026 April - June 2026</t>
  </si>
  <si>
    <t>Income Expense For the Forecast Year 2026 July - September 2026</t>
  </si>
  <si>
    <t>Income Expense For the Forecast Year 2026 October - December 2026</t>
  </si>
  <si>
    <t>~ Additional fees for cigarette (change from e-cigarette to cigarette) 18/09 - $380
~ OK Store buy additional 1 packet cigarette 18/09 - $78
~ Debit For Octopus Card ($50). 18/09
~ Debit For Octopus Card ($50). 18/09
~ OK Store buy additional 1 packet cigarette 18/09 - $78
~ OK Store buy additional 1 packet cigarette 19/09 - $78
~ Debit For Octopus Card ($50). 26/09
~ Round Trip to East Kowloon hospital 02/10 - $4
~ Buy 2 packs of cigarette (each packs contains 10 packets) 09/10 - $640
~ OK Store buy lighter 11/10 - $11</t>
  </si>
  <si>
    <t>~ iHerb Aveeno Lotion - $136.64
~ Carousell Revlon color silk 12/10 - $54.72</t>
  </si>
  <si>
    <t>Partial Food And Snack Prepaid on the Previous Month
~ Food
   ~ HKTV mall 18/09 - $339.9
   ~ Ustore 02/10 - $104.3
~ Snack And Drinks
   ~ 7 Eleven 18/09 - $12
   ~ Ustore 02/10 - $30
   ~ OK store 07/10 - $61.5
   ~ OK Store 08/10 - $22
   ~ BestMart 360 08/10 - $39
   ~ OK Store 09/10 - $20
   ~ OK Store 11/10 - $20
   ~ OK Store 12/10 - $22
   ~ OK Store 14/10 - $22
   ~ OK Store 16/10 - $22</t>
  </si>
  <si>
    <t>Cancel carousel order for dyeing</t>
  </si>
  <si>
    <t>1. Top up $100 for Octopus</t>
  </si>
  <si>
    <t>Carousel</t>
  </si>
  <si>
    <t>1. Payback $136 for the fixed line fees</t>
  </si>
  <si>
    <t>~ Revlon color stay 20/10 - $53.9</t>
  </si>
  <si>
    <t>~ Debit For Octopus Card ($100). 20/10
~ Help mom to paid the fixline fees $136 - 20/10
~ Gandi domain name programming.website renewal $312.73 - 26/10
~ HSBC Global Transfer Charges $70 - 26/10
~ Round Trip to Kowloon East Hospital 30/10 - $4</t>
  </si>
  <si>
    <t>1. Cancel hair cut.</t>
  </si>
  <si>
    <t>~ Food
~ Snack And Drinks
   ~ OK Store $40 - 20/10
   ~ Best Mart 360 20/10 - $22.9
   ~ Wellcome 20/10 - $112
   ~ Ustore 23/10 - $97
   ~ Best Mart 360 23/10 - $25
   ~ OK Store 25/10 - $63
   ~ OK Store 27/10 - $26
   ~ OK Store - $25 (Octopus paid-need to confirm)
   ~ Best Mart 360 30/10 - $25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</si>
</sst>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]#,##0.00"/>
    <numFmt numFmtId="165" formatCode="[$$]#,##0.00;[$$]\-#,##0.00"/>
    <numFmt numFmtId="166" formatCode="dd\ mmmm\ yyyy"/>
    <numFmt numFmtId="167" formatCode="d\ mmmm\ yyyy"/>
    <numFmt numFmtId="168" formatCode="[$$-3C09]#,##0.00"/>
  </numFmts>
  <fonts count="21" x14ac:knownFonts="1">
    <font>
      <sz val="11"/>
      <color theme="1"/>
      <name val="Calibri"/>
      <charset val="134"/>
    </font>
    <font>
      <b/>
      <sz val="16"/>
      <color theme="1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rgb="FF4A86E8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1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5B9BD5"/>
      <name val="Calibri"/>
      <family val="2"/>
      <charset val="1"/>
    </font>
    <font>
      <b/>
      <sz val="12"/>
      <color theme="1"/>
      <name val="Calibri"/>
      <family val="2"/>
      <charset val="1"/>
    </font>
    <font>
      <b/>
      <sz val="11"/>
      <color theme="4" tint="-0.249977111117893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i/>
      <sz val="72"/>
      <color theme="0"/>
      <name val="Arial"/>
      <family val="2"/>
    </font>
    <font>
      <b/>
      <i/>
      <sz val="26"/>
      <color theme="0"/>
      <name val="Arial"/>
      <family val="2"/>
    </font>
    <font>
      <b/>
      <i/>
      <sz val="48"/>
      <color theme="0"/>
      <name val="Arial"/>
      <family val="2"/>
    </font>
    <font>
      <sz val="24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theme="4"/>
        <bgColor rgb="FF4A86E8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theme="4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8">
    <xf numFmtId="0" fontId="0" fillId="0" borderId="0" xfId="0"/>
    <xf numFmtId="0" fontId="9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165" fontId="0" fillId="0" borderId="4" xfId="0" applyNumberFormat="1" applyBorder="1" applyAlignment="1">
      <alignment vertical="center"/>
    </xf>
    <xf numFmtId="0" fontId="0" fillId="0" borderId="5" xfId="0" applyBorder="1" applyAlignment="1">
      <alignment vertical="center" wrapText="1"/>
    </xf>
    <xf numFmtId="164" fontId="0" fillId="0" borderId="5" xfId="0" applyNumberFormat="1" applyBorder="1" applyAlignment="1">
      <alignment vertical="center"/>
    </xf>
    <xf numFmtId="164" fontId="0" fillId="0" borderId="1" xfId="0" applyNumberFormat="1" applyBorder="1" applyAlignment="1">
      <alignment vertical="center"/>
    </xf>
    <xf numFmtId="14" fontId="0" fillId="0" borderId="7" xfId="0" applyNumberFormat="1" applyBorder="1" applyAlignment="1">
      <alignment horizontal="left" vertical="center" wrapText="1"/>
    </xf>
    <xf numFmtId="164" fontId="0" fillId="0" borderId="3" xfId="0" applyNumberFormat="1" applyBorder="1" applyAlignment="1">
      <alignment vertical="center"/>
    </xf>
    <xf numFmtId="14" fontId="0" fillId="0" borderId="1" xfId="0" applyNumberFormat="1" applyBorder="1" applyAlignment="1">
      <alignment horizontal="left" vertical="center" wrapText="1"/>
    </xf>
    <xf numFmtId="0" fontId="0" fillId="0" borderId="7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3" xfId="0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vertical="center"/>
    </xf>
    <xf numFmtId="0" fontId="5" fillId="4" borderId="5" xfId="0" applyFont="1" applyFill="1" applyBorder="1" applyAlignment="1">
      <alignment vertical="center" wrapText="1"/>
    </xf>
    <xf numFmtId="0" fontId="5" fillId="4" borderId="5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165" fontId="0" fillId="0" borderId="1" xfId="0" applyNumberFormat="1" applyBorder="1" applyAlignment="1">
      <alignment vertical="center"/>
    </xf>
    <xf numFmtId="0" fontId="7" fillId="0" borderId="1" xfId="0" applyFont="1" applyBorder="1" applyAlignment="1">
      <alignment horizontal="right" vertical="center" wrapText="1"/>
    </xf>
    <xf numFmtId="165" fontId="8" fillId="0" borderId="1" xfId="0" applyNumberFormat="1" applyFont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5" xfId="0" applyNumberForma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164" fontId="0" fillId="0" borderId="5" xfId="0" applyNumberFormat="1" applyBorder="1" applyAlignment="1">
      <alignment horizontal="right" vertical="center"/>
    </xf>
    <xf numFmtId="165" fontId="11" fillId="0" borderId="1" xfId="0" applyNumberFormat="1" applyFont="1" applyBorder="1" applyAlignment="1">
      <alignment vertical="center"/>
    </xf>
    <xf numFmtId="0" fontId="12" fillId="0" borderId="0" xfId="0" applyFont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vertical="center"/>
    </xf>
    <xf numFmtId="164" fontId="13" fillId="0" borderId="4" xfId="0" applyNumberFormat="1" applyFont="1" applyBorder="1" applyAlignment="1">
      <alignment vertical="center"/>
    </xf>
    <xf numFmtId="168" fontId="0" fillId="0" borderId="1" xfId="0" applyNumberFormat="1" applyBorder="1" applyAlignment="1">
      <alignment vertical="center"/>
    </xf>
    <xf numFmtId="164" fontId="13" fillId="3" borderId="1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14" fillId="0" borderId="1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165" fontId="0" fillId="0" borderId="15" xfId="0" applyNumberFormat="1" applyBorder="1" applyAlignment="1">
      <alignment vertical="center"/>
    </xf>
    <xf numFmtId="0" fontId="14" fillId="0" borderId="8" xfId="0" applyFont="1" applyBorder="1" applyAlignment="1">
      <alignment vertical="center" wrapText="1"/>
    </xf>
    <xf numFmtId="0" fontId="14" fillId="0" borderId="1" xfId="0" applyFont="1" applyBorder="1"/>
    <xf numFmtId="164" fontId="13" fillId="3" borderId="4" xfId="0" applyNumberFormat="1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2" fillId="3" borderId="1" xfId="0" applyFont="1" applyFill="1" applyBorder="1" applyAlignment="1">
      <alignment horizontal="center" wrapText="1"/>
    </xf>
    <xf numFmtId="0" fontId="0" fillId="0" borderId="16" xfId="0" applyBorder="1" applyAlignment="1">
      <alignment vertical="center" wrapText="1"/>
    </xf>
    <xf numFmtId="165" fontId="0" fillId="0" borderId="16" xfId="0" applyNumberFormat="1" applyBorder="1" applyAlignment="1">
      <alignment vertical="center"/>
    </xf>
    <xf numFmtId="0" fontId="14" fillId="0" borderId="0" xfId="0" applyFont="1"/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7" fontId="6" fillId="0" borderId="10" xfId="0" applyNumberFormat="1" applyFont="1" applyBorder="1" applyAlignment="1">
      <alignment horizontal="left" vertical="center" wrapText="1"/>
    </xf>
    <xf numFmtId="167" fontId="6" fillId="0" borderId="9" xfId="0" applyNumberFormat="1" applyFont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167" fontId="14" fillId="0" borderId="10" xfId="0" applyNumberFormat="1" applyFont="1" applyBorder="1" applyAlignment="1">
      <alignment horizontal="left" vertical="center" wrapText="1"/>
    </xf>
    <xf numFmtId="167" fontId="0" fillId="0" borderId="9" xfId="0" applyNumberFormat="1" applyBorder="1" applyAlignment="1">
      <alignment horizontal="left" vertical="center"/>
    </xf>
    <xf numFmtId="167" fontId="6" fillId="0" borderId="1" xfId="0" applyNumberFormat="1" applyFont="1" applyBorder="1" applyAlignment="1">
      <alignment horizontal="left" vertical="center" wrapText="1"/>
    </xf>
    <xf numFmtId="167" fontId="14" fillId="0" borderId="1" xfId="0" applyNumberFormat="1" applyFont="1" applyBorder="1" applyAlignment="1">
      <alignment horizontal="left" vertical="center" wrapText="1"/>
    </xf>
    <xf numFmtId="167" fontId="0" fillId="0" borderId="1" xfId="0" applyNumberFormat="1" applyBorder="1" applyAlignment="1">
      <alignment horizontal="left" vertical="center"/>
    </xf>
    <xf numFmtId="167" fontId="14" fillId="0" borderId="9" xfId="0" applyNumberFormat="1" applyFont="1" applyBorder="1" applyAlignment="1">
      <alignment horizontal="left" vertical="center" wrapText="1"/>
    </xf>
    <xf numFmtId="0" fontId="11" fillId="0" borderId="10" xfId="0" applyFon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166" fontId="14" fillId="0" borderId="1" xfId="0" applyNumberFormat="1" applyFont="1" applyBorder="1" applyAlignment="1">
      <alignment horizontal="left" vertical="center" wrapText="1"/>
    </xf>
    <xf numFmtId="166" fontId="0" fillId="0" borderId="1" xfId="0" applyNumberFormat="1" applyBorder="1" applyAlignment="1">
      <alignment horizontal="left" vertical="center" wrapText="1"/>
    </xf>
    <xf numFmtId="166" fontId="0" fillId="0" borderId="1" xfId="0" applyNumberFormat="1" applyBorder="1" applyAlignment="1">
      <alignment horizontal="left" vertical="center"/>
    </xf>
    <xf numFmtId="167" fontId="0" fillId="0" borderId="3" xfId="0" applyNumberFormat="1" applyBorder="1" applyAlignment="1">
      <alignment horizontal="center" vertical="center"/>
    </xf>
    <xf numFmtId="166" fontId="14" fillId="0" borderId="10" xfId="0" applyNumberFormat="1" applyFont="1" applyBorder="1" applyAlignment="1">
      <alignment horizontal="left" vertical="center" wrapText="1"/>
    </xf>
    <xf numFmtId="166" fontId="14" fillId="0" borderId="9" xfId="0" applyNumberFormat="1" applyFont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4" fillId="6" borderId="5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center" wrapText="1"/>
    </xf>
    <xf numFmtId="0" fontId="0" fillId="5" borderId="3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20" fillId="0" borderId="0" xfId="0" applyFont="1" applyAlignment="1">
      <alignment horizontal="center" wrapText="1"/>
    </xf>
    <xf numFmtId="0" fontId="1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7" fillId="7" borderId="0" xfId="0" applyFont="1" applyFill="1" applyAlignment="1">
      <alignment horizontal="center"/>
    </xf>
    <xf numFmtId="0" fontId="18" fillId="7" borderId="0" xfId="0" applyFont="1" applyFill="1" applyAlignment="1">
      <alignment horizontal="center"/>
    </xf>
    <xf numFmtId="0" fontId="19" fillId="7" borderId="0" xfId="0" applyFont="1" applyFill="1" applyAlignment="1">
      <alignment horizontal="center" vertical="top"/>
    </xf>
    <xf numFmtId="0" fontId="6" fillId="0" borderId="1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167" fontId="0" fillId="0" borderId="1" xfId="0" applyNumberFormat="1" applyBorder="1" applyAlignment="1">
      <alignment horizontal="left" vertical="center" wrapText="1"/>
    </xf>
    <xf numFmtId="0" fontId="10" fillId="0" borderId="5" xfId="0" applyFont="1" applyBorder="1" applyAlignment="1">
      <alignment horizontal="center" vertical="center"/>
    </xf>
    <xf numFmtId="166" fontId="0" fillId="0" borderId="9" xfId="0" applyNumberFormat="1" applyBorder="1" applyAlignment="1">
      <alignment horizontal="left" vertical="center" wrapText="1"/>
    </xf>
    <xf numFmtId="166" fontId="0" fillId="0" borderId="9" xfId="0" applyNumberFormat="1" applyBorder="1" applyAlignment="1">
      <alignment horizontal="left" vertical="center"/>
    </xf>
    <xf numFmtId="166" fontId="6" fillId="0" borderId="1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4" borderId="5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</cellXfs>
  <cellStyles count="1">
    <cellStyle name="Normal" xfId="0" builtinId="0"/>
  </cellStyles>
  <dxfs count="12">
    <dxf>
      <font>
        <color rgb="FFFF0000"/>
      </font>
    </dxf>
    <dxf>
      <font>
        <color rgb="FF4472C4"/>
      </font>
    </dxf>
    <dxf>
      <font>
        <color rgb="FFFF0000"/>
      </font>
    </dxf>
    <dxf>
      <font>
        <color rgb="FF2E75B6"/>
      </font>
    </dxf>
    <dxf>
      <font>
        <color rgb="FFFF0000"/>
      </font>
    </dxf>
    <dxf>
      <font>
        <color rgb="FF4472C4"/>
      </font>
    </dxf>
    <dxf>
      <font>
        <color rgb="FFFF0000"/>
      </font>
    </dxf>
    <dxf>
      <font>
        <color rgb="FF2E75B6"/>
      </font>
    </dxf>
    <dxf>
      <font>
        <color rgb="FFFF0000"/>
      </font>
    </dxf>
    <dxf>
      <font>
        <color rgb="FF4472C4"/>
      </font>
    </dxf>
    <dxf>
      <font>
        <color rgb="FFFF0000"/>
      </font>
    </dxf>
    <dxf>
      <font>
        <color rgb="FF2E75B6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2E75B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4A86E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050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286D-45CF-5F4E-B392-86EAC80C9EFC}">
  <dimension ref="A1:W49"/>
  <sheetViews>
    <sheetView workbookViewId="0">
      <selection activeCell="AA35" sqref="AA35"/>
    </sheetView>
  </sheetViews>
  <sheetFormatPr baseColWidth="10" defaultRowHeight="15" x14ac:dyDescent="0.2"/>
  <sheetData>
    <row r="1" spans="1:23" x14ac:dyDescent="0.2">
      <c r="A1" s="109" t="s">
        <v>167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</row>
    <row r="2" spans="1:23" x14ac:dyDescent="0.2">
      <c r="A2" s="110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</row>
    <row r="3" spans="1:23" x14ac:dyDescent="0.2">
      <c r="A3" s="110"/>
      <c r="B3" s="110"/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</row>
    <row r="4" spans="1:23" x14ac:dyDescent="0.2">
      <c r="A4" s="110"/>
      <c r="B4" s="110"/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</row>
    <row r="5" spans="1:23" x14ac:dyDescent="0.2">
      <c r="A5" s="110"/>
      <c r="B5" s="110"/>
      <c r="C5" s="110"/>
      <c r="D5" s="110"/>
      <c r="E5" s="110"/>
      <c r="F5" s="110"/>
      <c r="G5" s="110"/>
      <c r="H5" s="110"/>
      <c r="I5" s="110"/>
      <c r="J5" s="110"/>
      <c r="K5" s="110"/>
      <c r="L5" s="110"/>
      <c r="M5" s="110"/>
      <c r="N5" s="110"/>
      <c r="O5" s="110"/>
      <c r="P5" s="110"/>
      <c r="Q5" s="110"/>
      <c r="R5" s="110"/>
      <c r="S5" s="110"/>
      <c r="T5" s="110"/>
      <c r="U5" s="110"/>
      <c r="V5" s="110"/>
      <c r="W5" s="110"/>
    </row>
    <row r="6" spans="1:23" x14ac:dyDescent="0.2">
      <c r="A6" s="110"/>
      <c r="B6" s="110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</row>
    <row r="7" spans="1:23" x14ac:dyDescent="0.2">
      <c r="A7" s="110"/>
      <c r="B7" s="110"/>
      <c r="C7" s="110"/>
      <c r="D7" s="110"/>
      <c r="E7" s="110"/>
      <c r="F7" s="110"/>
      <c r="G7" s="110"/>
      <c r="H7" s="110"/>
      <c r="I7" s="110"/>
      <c r="J7" s="110"/>
      <c r="K7" s="11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</row>
    <row r="8" spans="1:23" x14ac:dyDescent="0.2">
      <c r="A8" s="110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</row>
    <row r="9" spans="1:23" x14ac:dyDescent="0.2">
      <c r="A9" s="110"/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</row>
    <row r="10" spans="1:23" x14ac:dyDescent="0.2">
      <c r="A10" s="110"/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</row>
    <row r="11" spans="1:23" x14ac:dyDescent="0.2">
      <c r="A11" s="110"/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</row>
    <row r="12" spans="1:23" x14ac:dyDescent="0.2">
      <c r="A12" s="110"/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10"/>
      <c r="V12" s="110"/>
      <c r="W12" s="110"/>
    </row>
    <row r="13" spans="1:23" x14ac:dyDescent="0.2">
      <c r="A13" s="110"/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10"/>
      <c r="V13" s="110"/>
      <c r="W13" s="110"/>
    </row>
    <row r="14" spans="1:23" x14ac:dyDescent="0.2">
      <c r="A14" s="110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</row>
    <row r="15" spans="1:23" x14ac:dyDescent="0.2">
      <c r="A15" s="110"/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</row>
    <row r="16" spans="1:23" x14ac:dyDescent="0.2">
      <c r="A16" s="110"/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</row>
    <row r="17" spans="1:23" x14ac:dyDescent="0.2">
      <c r="A17" s="110"/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</row>
    <row r="18" spans="1:23" x14ac:dyDescent="0.2">
      <c r="A18" s="110"/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</row>
    <row r="19" spans="1:23" x14ac:dyDescent="0.2">
      <c r="A19" s="110"/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</row>
    <row r="20" spans="1:23" x14ac:dyDescent="0.2">
      <c r="A20" s="110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</row>
    <row r="21" spans="1:23" x14ac:dyDescent="0.2">
      <c r="A21" s="110"/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</row>
    <row r="22" spans="1:23" x14ac:dyDescent="0.2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</row>
    <row r="23" spans="1:23" x14ac:dyDescent="0.2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0"/>
      <c r="V23" s="110"/>
      <c r="W23" s="110"/>
    </row>
    <row r="24" spans="1:23" x14ac:dyDescent="0.2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0"/>
      <c r="V24" s="110"/>
      <c r="W24" s="110"/>
    </row>
    <row r="25" spans="1:23" x14ac:dyDescent="0.2">
      <c r="A25" s="111" t="s">
        <v>168</v>
      </c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</row>
    <row r="26" spans="1:23" x14ac:dyDescent="0.2">
      <c r="A26" s="111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</row>
    <row r="27" spans="1:23" x14ac:dyDescent="0.2">
      <c r="A27" s="111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</row>
    <row r="28" spans="1:23" x14ac:dyDescent="0.2">
      <c r="A28" s="111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</row>
    <row r="29" spans="1:23" x14ac:dyDescent="0.2">
      <c r="A29" s="111"/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</row>
    <row r="30" spans="1:23" x14ac:dyDescent="0.2">
      <c r="A30" s="111"/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</row>
    <row r="31" spans="1:23" x14ac:dyDescent="0.2">
      <c r="A31" s="111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</row>
    <row r="32" spans="1:23" x14ac:dyDescent="0.2">
      <c r="A32" s="111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</row>
    <row r="33" spans="1:23" x14ac:dyDescent="0.2">
      <c r="A33" s="111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</row>
    <row r="34" spans="1:23" x14ac:dyDescent="0.2">
      <c r="A34" s="111"/>
      <c r="B34" s="111"/>
      <c r="C34" s="111"/>
      <c r="D34" s="111"/>
      <c r="E34" s="111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</row>
    <row r="35" spans="1:23" x14ac:dyDescent="0.2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</row>
    <row r="36" spans="1:23" x14ac:dyDescent="0.2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</row>
    <row r="37" spans="1:23" x14ac:dyDescent="0.2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</row>
    <row r="38" spans="1:23" x14ac:dyDescent="0.2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</row>
    <row r="39" spans="1:23" x14ac:dyDescent="0.2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</row>
    <row r="40" spans="1:23" x14ac:dyDescent="0.2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</row>
    <row r="41" spans="1:23" x14ac:dyDescent="0.2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</row>
    <row r="42" spans="1:23" x14ac:dyDescent="0.2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</row>
    <row r="43" spans="1:23" x14ac:dyDescent="0.2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</row>
    <row r="44" spans="1:23" x14ac:dyDescent="0.2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</row>
    <row r="45" spans="1:23" x14ac:dyDescent="0.2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</row>
    <row r="46" spans="1:23" x14ac:dyDescent="0.2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</row>
    <row r="47" spans="1:23" x14ac:dyDescent="0.2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</row>
    <row r="48" spans="1:23" x14ac:dyDescent="0.2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</row>
    <row r="49" spans="1:23" x14ac:dyDescent="0.2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</row>
  </sheetData>
  <mergeCells count="2">
    <mergeCell ref="A1:W24"/>
    <mergeCell ref="A25:W4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51"/>
  <sheetViews>
    <sheetView tabSelected="1" zoomScale="150" zoomScaleNormal="150" workbookViewId="0">
      <selection activeCell="C4" sqref="C4"/>
    </sheetView>
  </sheetViews>
  <sheetFormatPr baseColWidth="10" defaultColWidth="14.33203125" defaultRowHeight="15" customHeight="1" x14ac:dyDescent="0.2"/>
  <cols>
    <col min="1" max="1" width="21.5" customWidth="1"/>
    <col min="2" max="2" width="28" customWidth="1"/>
    <col min="3" max="3" width="41.83203125" customWidth="1"/>
    <col min="4" max="4" width="35.83203125" customWidth="1"/>
    <col min="5" max="5" width="22" customWidth="1"/>
    <col min="6" max="7" width="9" customWidth="1"/>
    <col min="8" max="8" width="24.5" customWidth="1"/>
    <col min="9" max="9" width="19.5" customWidth="1"/>
    <col min="10" max="25" width="9" customWidth="1"/>
  </cols>
  <sheetData>
    <row r="1" spans="1:25" ht="19.5" customHeight="1" x14ac:dyDescent="0.2">
      <c r="A1" s="97" t="s">
        <v>171</v>
      </c>
      <c r="B1" s="97"/>
      <c r="C1" s="97"/>
      <c r="D1" s="97"/>
      <c r="E1" s="97"/>
      <c r="F1" s="5"/>
      <c r="G1" s="5"/>
      <c r="H1" s="5"/>
      <c r="I1" s="5"/>
    </row>
    <row r="2" spans="1:25" ht="13.5" customHeight="1" x14ac:dyDescent="0.2">
      <c r="A2" s="6"/>
      <c r="B2" s="6"/>
      <c r="C2" s="7"/>
      <c r="D2" s="7"/>
      <c r="E2" s="7"/>
    </row>
    <row r="3" spans="1:25" ht="78" customHeight="1" x14ac:dyDescent="0.2">
      <c r="A3" s="8" t="s">
        <v>0</v>
      </c>
      <c r="B3" s="57" t="s">
        <v>169</v>
      </c>
      <c r="C3" s="9">
        <v>41.51</v>
      </c>
      <c r="D3" s="10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35.25" customHeight="1" x14ac:dyDescent="0.2">
      <c r="A4" s="8"/>
      <c r="B4" s="8" t="s">
        <v>1</v>
      </c>
      <c r="C4" s="9">
        <v>724.7</v>
      </c>
      <c r="D4" s="10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51" customHeight="1" x14ac:dyDescent="0.2">
      <c r="A5" s="8"/>
      <c r="B5" s="8" t="s">
        <v>170</v>
      </c>
      <c r="C5" s="9">
        <v>0</v>
      </c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35.25" customHeight="1" x14ac:dyDescent="0.2">
      <c r="A6" s="8"/>
      <c r="B6" s="8" t="s">
        <v>2</v>
      </c>
      <c r="C6" s="9">
        <v>0</v>
      </c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35.25" customHeight="1" x14ac:dyDescent="0.2">
      <c r="A7" s="8"/>
      <c r="B7" s="8" t="s">
        <v>166</v>
      </c>
      <c r="C7" s="9">
        <v>9</v>
      </c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35.25" customHeight="1" x14ac:dyDescent="0.2">
      <c r="A8" s="8"/>
      <c r="B8" s="8" t="s">
        <v>3</v>
      </c>
      <c r="C8" s="9">
        <v>31.7</v>
      </c>
      <c r="D8" s="10"/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ht="35.25" customHeight="1" x14ac:dyDescent="0.2">
      <c r="A9" s="8"/>
      <c r="B9" s="8" t="s">
        <v>4</v>
      </c>
      <c r="C9" s="9">
        <f>SUM(C3:C8)</f>
        <v>806.91000000000008</v>
      </c>
      <c r="D9" s="10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13.5" customHeight="1" x14ac:dyDescent="0.2">
      <c r="A10" s="12"/>
      <c r="B10" s="12"/>
      <c r="C10" s="12"/>
      <c r="D10" s="12"/>
      <c r="E10" s="12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3.5" customHeight="1" x14ac:dyDescent="0.2">
      <c r="A11" s="98" t="s">
        <v>5</v>
      </c>
      <c r="B11" s="98"/>
      <c r="C11" s="98"/>
      <c r="D11" s="98"/>
      <c r="E11" s="98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13.5" customHeight="1" x14ac:dyDescent="0.2">
      <c r="A12" s="13" t="s">
        <v>6</v>
      </c>
      <c r="B12" s="14" t="s">
        <v>7</v>
      </c>
      <c r="C12" s="99" t="s">
        <v>8</v>
      </c>
      <c r="D12" s="99"/>
      <c r="E12" s="4" t="s">
        <v>9</v>
      </c>
    </row>
    <row r="13" spans="1:25" ht="13.5" customHeight="1" x14ac:dyDescent="0.2">
      <c r="A13" s="15" t="s">
        <v>10</v>
      </c>
      <c r="B13" s="15" t="s">
        <v>11</v>
      </c>
      <c r="C13" s="125" t="s">
        <v>12</v>
      </c>
      <c r="D13" s="125"/>
      <c r="E13" s="16">
        <v>2485</v>
      </c>
    </row>
    <row r="14" spans="1:25" ht="29.25" customHeight="1" x14ac:dyDescent="0.2">
      <c r="A14" s="17" t="s">
        <v>10</v>
      </c>
      <c r="B14" s="17" t="s">
        <v>13</v>
      </c>
      <c r="C14" s="126" t="s">
        <v>14</v>
      </c>
      <c r="D14" s="126"/>
      <c r="E14" s="18">
        <v>12</v>
      </c>
    </row>
    <row r="15" spans="1:25" ht="29.25" customHeight="1" x14ac:dyDescent="0.2">
      <c r="A15" s="6"/>
      <c r="B15" s="6" t="s">
        <v>15</v>
      </c>
      <c r="C15" s="93" t="s">
        <v>16</v>
      </c>
      <c r="D15" s="93"/>
      <c r="E15" s="19">
        <v>900</v>
      </c>
    </row>
    <row r="16" spans="1:25" ht="29.25" customHeight="1" x14ac:dyDescent="0.2">
      <c r="A16" s="6"/>
      <c r="B16" s="6" t="s">
        <v>17</v>
      </c>
      <c r="C16" s="93" t="s">
        <v>18</v>
      </c>
      <c r="D16" s="93"/>
      <c r="E16" s="19">
        <v>1050</v>
      </c>
    </row>
    <row r="17" spans="1:25" ht="29.25" customHeight="1" x14ac:dyDescent="0.2">
      <c r="A17" s="6"/>
      <c r="B17" s="6" t="s">
        <v>19</v>
      </c>
      <c r="C17" s="93" t="s">
        <v>20</v>
      </c>
      <c r="D17" s="93"/>
      <c r="E17" s="19">
        <v>700</v>
      </c>
    </row>
    <row r="18" spans="1:25" ht="58.5" customHeight="1" x14ac:dyDescent="0.2">
      <c r="A18" s="20">
        <v>46138</v>
      </c>
      <c r="B18" s="6" t="s">
        <v>21</v>
      </c>
      <c r="C18" s="121" t="s">
        <v>22</v>
      </c>
      <c r="D18" s="121"/>
      <c r="E18" s="21">
        <v>187.6</v>
      </c>
    </row>
    <row r="19" spans="1:25" ht="29.25" customHeight="1" x14ac:dyDescent="0.2">
      <c r="A19" s="22"/>
      <c r="B19" s="6" t="s">
        <v>13</v>
      </c>
      <c r="C19" s="122" t="s">
        <v>23</v>
      </c>
      <c r="D19" s="122"/>
      <c r="E19" s="19">
        <v>118</v>
      </c>
    </row>
    <row r="20" spans="1:25" ht="29.25" customHeight="1" x14ac:dyDescent="0.2">
      <c r="A20" s="23" t="s">
        <v>24</v>
      </c>
      <c r="B20" s="53" t="s">
        <v>25</v>
      </c>
      <c r="C20" s="123" t="s">
        <v>26</v>
      </c>
      <c r="D20" s="123"/>
      <c r="E20" s="21">
        <v>50</v>
      </c>
    </row>
    <row r="21" spans="1:25" ht="13.5" customHeight="1" x14ac:dyDescent="0.2">
      <c r="A21" s="24"/>
      <c r="B21" s="24"/>
      <c r="C21" s="5"/>
      <c r="D21" s="25" t="s">
        <v>27</v>
      </c>
      <c r="E21" s="26">
        <f>SUM(E13:E20)</f>
        <v>5502.6</v>
      </c>
    </row>
    <row r="22" spans="1:25" ht="13.5" customHeight="1" x14ac:dyDescent="0.2">
      <c r="B22" s="24"/>
    </row>
    <row r="23" spans="1:25" ht="13.5" customHeight="1" x14ac:dyDescent="0.2">
      <c r="A23" s="91" t="s">
        <v>28</v>
      </c>
      <c r="B23" s="91"/>
      <c r="C23" s="91"/>
      <c r="D23" s="91"/>
      <c r="E23" s="9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ht="13.5" customHeight="1" x14ac:dyDescent="0.2">
      <c r="A24" s="27" t="s">
        <v>6</v>
      </c>
      <c r="B24" s="28" t="s">
        <v>7</v>
      </c>
      <c r="C24" s="124" t="s">
        <v>8</v>
      </c>
      <c r="D24" s="124"/>
      <c r="E24" s="3" t="s">
        <v>9</v>
      </c>
    </row>
    <row r="25" spans="1:25" ht="13.5" customHeight="1" x14ac:dyDescent="0.2">
      <c r="A25" s="6" t="s">
        <v>29</v>
      </c>
      <c r="B25" s="6" t="s">
        <v>11</v>
      </c>
      <c r="C25" s="93" t="s">
        <v>12</v>
      </c>
      <c r="D25" s="93"/>
      <c r="E25" s="29">
        <v>2485</v>
      </c>
    </row>
    <row r="26" spans="1:25" ht="13.5" customHeight="1" x14ac:dyDescent="0.2">
      <c r="A26" s="30" t="s">
        <v>30</v>
      </c>
      <c r="B26" s="6" t="s">
        <v>11</v>
      </c>
      <c r="C26" s="93" t="s">
        <v>31</v>
      </c>
      <c r="D26" s="93"/>
      <c r="E26" s="19">
        <v>2140</v>
      </c>
    </row>
    <row r="27" spans="1:25" ht="60.75" customHeight="1" x14ac:dyDescent="0.2">
      <c r="A27" s="30"/>
      <c r="B27" s="6" t="s">
        <v>21</v>
      </c>
      <c r="C27" s="120" t="s">
        <v>110</v>
      </c>
      <c r="D27" s="121"/>
      <c r="E27" s="19">
        <v>227.3</v>
      </c>
    </row>
    <row r="28" spans="1:25" ht="13.5" customHeight="1" x14ac:dyDescent="0.2">
      <c r="A28" s="30" t="s">
        <v>29</v>
      </c>
      <c r="B28" s="6" t="s">
        <v>15</v>
      </c>
      <c r="C28" s="122" t="s">
        <v>32</v>
      </c>
      <c r="D28" s="122"/>
      <c r="E28" s="19">
        <v>205</v>
      </c>
    </row>
    <row r="29" spans="1:25" ht="60.75" customHeight="1" x14ac:dyDescent="0.2">
      <c r="A29" s="30"/>
      <c r="B29" s="6" t="s">
        <v>25</v>
      </c>
      <c r="C29" s="112" t="s">
        <v>33</v>
      </c>
      <c r="D29" s="112"/>
      <c r="E29" s="19">
        <v>150</v>
      </c>
    </row>
    <row r="30" spans="1:25" ht="13.5" customHeight="1" x14ac:dyDescent="0.2">
      <c r="A30" s="24"/>
      <c r="B30" s="24"/>
      <c r="C30" s="5"/>
      <c r="D30" s="25" t="s">
        <v>27</v>
      </c>
      <c r="E30" s="26">
        <f>SUM(E25:E29)</f>
        <v>5207.3</v>
      </c>
    </row>
    <row r="31" spans="1:25" ht="13.5" customHeight="1" x14ac:dyDescent="0.2">
      <c r="A31" s="24"/>
      <c r="B31" s="24"/>
    </row>
    <row r="32" spans="1:25" ht="13.5" customHeight="1" x14ac:dyDescent="0.2">
      <c r="A32" s="91" t="s">
        <v>34</v>
      </c>
      <c r="B32" s="91"/>
      <c r="C32" s="91"/>
      <c r="D32" s="91"/>
      <c r="E32" s="9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5" ht="13.5" customHeight="1" x14ac:dyDescent="0.2">
      <c r="A33" s="31" t="s">
        <v>6</v>
      </c>
      <c r="B33" s="32" t="s">
        <v>7</v>
      </c>
      <c r="C33" s="92" t="s">
        <v>8</v>
      </c>
      <c r="D33" s="92"/>
      <c r="E33" s="2" t="s">
        <v>9</v>
      </c>
    </row>
    <row r="34" spans="1:5" ht="13.5" customHeight="1" x14ac:dyDescent="0.2">
      <c r="A34" s="6" t="s">
        <v>35</v>
      </c>
      <c r="B34" s="6" t="s">
        <v>11</v>
      </c>
      <c r="C34" s="93" t="s">
        <v>12</v>
      </c>
      <c r="D34" s="93"/>
      <c r="E34" s="33">
        <v>2485</v>
      </c>
    </row>
    <row r="35" spans="1:5" ht="13.5" customHeight="1" x14ac:dyDescent="0.2">
      <c r="A35" s="30"/>
      <c r="B35" s="6" t="s">
        <v>13</v>
      </c>
      <c r="C35" s="93" t="s">
        <v>36</v>
      </c>
      <c r="D35" s="93"/>
      <c r="E35" s="33">
        <v>118</v>
      </c>
    </row>
    <row r="36" spans="1:5" ht="46.5" customHeight="1" x14ac:dyDescent="0.2">
      <c r="A36" s="30"/>
      <c r="B36" s="50" t="s">
        <v>21</v>
      </c>
      <c r="C36" s="102" t="s">
        <v>114</v>
      </c>
      <c r="D36" s="103"/>
      <c r="E36" s="33">
        <v>170</v>
      </c>
    </row>
    <row r="37" spans="1:5" ht="42.75" customHeight="1" x14ac:dyDescent="0.2">
      <c r="A37" s="30"/>
      <c r="B37" s="50" t="s">
        <v>77</v>
      </c>
      <c r="C37" s="102" t="s">
        <v>111</v>
      </c>
      <c r="D37" s="105"/>
      <c r="E37" s="33">
        <v>800</v>
      </c>
    </row>
    <row r="38" spans="1:5" ht="33.75" customHeight="1" x14ac:dyDescent="0.2">
      <c r="A38" s="6"/>
      <c r="B38" s="50" t="s">
        <v>25</v>
      </c>
      <c r="C38" s="120" t="s">
        <v>115</v>
      </c>
      <c r="D38" s="93"/>
      <c r="E38" s="19">
        <v>200</v>
      </c>
    </row>
    <row r="39" spans="1:5" ht="13.5" customHeight="1" x14ac:dyDescent="0.2">
      <c r="A39" s="24"/>
      <c r="B39" s="24"/>
      <c r="C39" s="5"/>
      <c r="D39" s="34" t="s">
        <v>27</v>
      </c>
      <c r="E39" s="35">
        <f>SUM(E34:E38)</f>
        <v>3773</v>
      </c>
    </row>
    <row r="40" spans="1:5" ht="13.5" customHeight="1" x14ac:dyDescent="0.2">
      <c r="A40" s="24"/>
      <c r="B40" s="24"/>
    </row>
    <row r="41" spans="1:5" ht="16" x14ac:dyDescent="0.2">
      <c r="A41" s="94" t="s">
        <v>37</v>
      </c>
      <c r="B41" s="94"/>
      <c r="C41" s="94"/>
    </row>
    <row r="42" spans="1:5" ht="17" x14ac:dyDescent="0.2">
      <c r="A42" s="1" t="s">
        <v>7</v>
      </c>
      <c r="B42" s="1" t="s">
        <v>8</v>
      </c>
      <c r="C42" s="36" t="s">
        <v>9</v>
      </c>
      <c r="D42" s="37"/>
    </row>
    <row r="43" spans="1:5" ht="13.5" customHeight="1" x14ac:dyDescent="0.2">
      <c r="A43" s="95" t="s">
        <v>38</v>
      </c>
      <c r="B43" s="95"/>
      <c r="C43" s="95"/>
    </row>
    <row r="44" spans="1:5" ht="13.5" customHeight="1" x14ac:dyDescent="0.2">
      <c r="A44" s="50" t="s">
        <v>14</v>
      </c>
      <c r="B44" s="50" t="s">
        <v>108</v>
      </c>
      <c r="C44" s="33">
        <v>78</v>
      </c>
    </row>
    <row r="45" spans="1:5" ht="13.5" customHeight="1" x14ac:dyDescent="0.2">
      <c r="A45" s="17" t="s">
        <v>39</v>
      </c>
      <c r="B45" s="17" t="s">
        <v>40</v>
      </c>
      <c r="C45" s="38">
        <v>118</v>
      </c>
    </row>
    <row r="46" spans="1:5" ht="13.5" customHeight="1" x14ac:dyDescent="0.2">
      <c r="A46" s="17" t="s">
        <v>41</v>
      </c>
      <c r="B46" s="17" t="s">
        <v>42</v>
      </c>
      <c r="C46" s="38">
        <v>138</v>
      </c>
    </row>
    <row r="47" spans="1:5" ht="13.5" customHeight="1" x14ac:dyDescent="0.2">
      <c r="A47" s="7"/>
      <c r="B47" s="6" t="s">
        <v>43</v>
      </c>
      <c r="C47" s="39">
        <f>SUM(C44:C46)</f>
        <v>334</v>
      </c>
    </row>
    <row r="48" spans="1:5" ht="13.5" customHeight="1" x14ac:dyDescent="0.2">
      <c r="A48" s="96" t="s">
        <v>44</v>
      </c>
      <c r="B48" s="96"/>
      <c r="C48" s="96"/>
    </row>
    <row r="49" spans="1:3" ht="13.5" customHeight="1" x14ac:dyDescent="0.2">
      <c r="A49" s="96"/>
      <c r="B49" s="96"/>
      <c r="C49" s="96"/>
    </row>
    <row r="50" spans="1:3" ht="13.5" customHeight="1" x14ac:dyDescent="0.2">
      <c r="A50" s="6" t="s">
        <v>45</v>
      </c>
      <c r="B50" s="6"/>
      <c r="C50" s="29">
        <v>0</v>
      </c>
    </row>
    <row r="51" spans="1:3" ht="13.5" customHeight="1" x14ac:dyDescent="0.2">
      <c r="A51" s="6" t="s">
        <v>46</v>
      </c>
      <c r="B51" s="6"/>
      <c r="C51" s="19">
        <v>0</v>
      </c>
    </row>
    <row r="52" spans="1:3" ht="13.5" customHeight="1" x14ac:dyDescent="0.2">
      <c r="A52" s="6" t="s">
        <v>47</v>
      </c>
      <c r="B52" s="6"/>
      <c r="C52" s="19">
        <v>0</v>
      </c>
    </row>
    <row r="53" spans="1:3" ht="13.5" customHeight="1" x14ac:dyDescent="0.2">
      <c r="A53" s="6" t="s">
        <v>48</v>
      </c>
      <c r="B53" s="6"/>
      <c r="C53" s="19">
        <v>0</v>
      </c>
    </row>
    <row r="54" spans="1:3" ht="13.5" customHeight="1" x14ac:dyDescent="0.2">
      <c r="A54" s="6"/>
      <c r="B54" s="6" t="s">
        <v>49</v>
      </c>
      <c r="C54" s="39">
        <f>SUM(C50:C53)</f>
        <v>0</v>
      </c>
    </row>
    <row r="55" spans="1:3" ht="13.5" customHeight="1" x14ac:dyDescent="0.2">
      <c r="A55" s="95" t="s">
        <v>50</v>
      </c>
      <c r="B55" s="95"/>
      <c r="C55" s="95"/>
    </row>
    <row r="56" spans="1:3" ht="13.5" customHeight="1" x14ac:dyDescent="0.2">
      <c r="A56" s="6" t="s">
        <v>51</v>
      </c>
      <c r="B56" s="6" t="s">
        <v>52</v>
      </c>
      <c r="C56" s="33">
        <v>0</v>
      </c>
    </row>
    <row r="57" spans="1:3" ht="13.5" customHeight="1" x14ac:dyDescent="0.2">
      <c r="A57" s="6" t="s">
        <v>53</v>
      </c>
      <c r="B57" s="6" t="s">
        <v>54</v>
      </c>
      <c r="C57" s="33">
        <v>0</v>
      </c>
    </row>
    <row r="58" spans="1:3" ht="13.5" customHeight="1" x14ac:dyDescent="0.2">
      <c r="A58" s="6"/>
      <c r="B58" s="6" t="s">
        <v>55</v>
      </c>
      <c r="C58" s="39">
        <f>SUM(C56:C57)</f>
        <v>0</v>
      </c>
    </row>
    <row r="59" spans="1:3" ht="13.5" customHeight="1" x14ac:dyDescent="0.2">
      <c r="A59" s="95" t="s">
        <v>56</v>
      </c>
      <c r="B59" s="95"/>
      <c r="C59" s="95"/>
    </row>
    <row r="60" spans="1:3" ht="13.5" customHeight="1" x14ac:dyDescent="0.2">
      <c r="A60" s="6" t="s">
        <v>57</v>
      </c>
      <c r="B60" s="6" t="s">
        <v>58</v>
      </c>
      <c r="C60" s="29">
        <v>0</v>
      </c>
    </row>
    <row r="61" spans="1:3" ht="13.5" customHeight="1" x14ac:dyDescent="0.2">
      <c r="A61" s="17"/>
      <c r="B61" s="17" t="s">
        <v>59</v>
      </c>
      <c r="C61" s="39">
        <f>SUM(C60)</f>
        <v>0</v>
      </c>
    </row>
    <row r="62" spans="1:3" ht="13.5" customHeight="1" x14ac:dyDescent="0.2">
      <c r="A62" s="95" t="s">
        <v>60</v>
      </c>
      <c r="B62" s="95"/>
      <c r="C62" s="95"/>
    </row>
    <row r="63" spans="1:3" ht="13.5" customHeight="1" x14ac:dyDescent="0.2">
      <c r="A63" s="6" t="s">
        <v>61</v>
      </c>
      <c r="B63" s="6" t="s">
        <v>62</v>
      </c>
      <c r="C63" s="29">
        <v>0</v>
      </c>
    </row>
    <row r="64" spans="1:3" ht="13.5" customHeight="1" x14ac:dyDescent="0.2">
      <c r="A64" s="6"/>
      <c r="B64" s="6" t="s">
        <v>63</v>
      </c>
      <c r="C64" s="39">
        <f>SUM(C63)</f>
        <v>0</v>
      </c>
    </row>
    <row r="65" spans="1:8" ht="13.5" customHeight="1" x14ac:dyDescent="0.2">
      <c r="A65" s="89" t="s">
        <v>64</v>
      </c>
      <c r="B65" s="89"/>
      <c r="C65" s="89"/>
    </row>
    <row r="66" spans="1:8" ht="13.5" customHeight="1" x14ac:dyDescent="0.2">
      <c r="A66" s="17" t="s">
        <v>65</v>
      </c>
      <c r="B66" s="5" t="s">
        <v>66</v>
      </c>
      <c r="C66" s="40">
        <v>0</v>
      </c>
    </row>
    <row r="67" spans="1:8" ht="13.5" customHeight="1" x14ac:dyDescent="0.2">
      <c r="A67" s="6" t="s">
        <v>67</v>
      </c>
      <c r="B67" s="6" t="s">
        <v>15</v>
      </c>
      <c r="C67" s="29">
        <v>900</v>
      </c>
    </row>
    <row r="68" spans="1:8" ht="32" x14ac:dyDescent="0.2">
      <c r="A68" s="6" t="s">
        <v>68</v>
      </c>
      <c r="B68" s="6" t="s">
        <v>69</v>
      </c>
      <c r="C68" s="29">
        <v>0</v>
      </c>
    </row>
    <row r="69" spans="1:8" ht="13.5" customHeight="1" x14ac:dyDescent="0.2">
      <c r="A69" s="6" t="s">
        <v>70</v>
      </c>
      <c r="B69" s="6" t="s">
        <v>71</v>
      </c>
      <c r="C69" s="29">
        <v>78</v>
      </c>
    </row>
    <row r="70" spans="1:8" ht="13.5" customHeight="1" x14ac:dyDescent="0.2">
      <c r="A70" s="6" t="s">
        <v>72</v>
      </c>
      <c r="B70" s="6"/>
      <c r="C70" s="29">
        <v>55</v>
      </c>
    </row>
    <row r="71" spans="1:8" ht="13.5" customHeight="1" x14ac:dyDescent="0.2">
      <c r="A71" s="7" t="s">
        <v>73</v>
      </c>
      <c r="B71" s="7" t="s">
        <v>74</v>
      </c>
      <c r="C71" s="19">
        <v>0</v>
      </c>
    </row>
    <row r="72" spans="1:8" ht="13.5" customHeight="1" x14ac:dyDescent="0.2">
      <c r="A72" s="7"/>
      <c r="B72" s="7" t="s">
        <v>75</v>
      </c>
      <c r="C72" s="39">
        <f>SUM(C66:C71)</f>
        <v>1033</v>
      </c>
    </row>
    <row r="73" spans="1:8" ht="13.5" customHeight="1" x14ac:dyDescent="0.2">
      <c r="A73" s="89" t="s">
        <v>76</v>
      </c>
      <c r="B73" s="89"/>
      <c r="C73" s="89"/>
    </row>
    <row r="74" spans="1:8" ht="13.5" customHeight="1" x14ac:dyDescent="0.2">
      <c r="A74" s="7" t="s">
        <v>21</v>
      </c>
      <c r="B74" s="7"/>
      <c r="C74" s="19">
        <v>0</v>
      </c>
    </row>
    <row r="75" spans="1:8" ht="13.5" customHeight="1" x14ac:dyDescent="0.2">
      <c r="A75" s="7" t="s">
        <v>77</v>
      </c>
      <c r="B75" s="7"/>
      <c r="C75" s="19">
        <v>0</v>
      </c>
    </row>
    <row r="76" spans="1:8" ht="13.5" customHeight="1" x14ac:dyDescent="0.2">
      <c r="A76" s="7"/>
      <c r="B76" s="7" t="s">
        <v>78</v>
      </c>
      <c r="C76" s="19">
        <f>SUM(C74:C75)</f>
        <v>0</v>
      </c>
    </row>
    <row r="77" spans="1:8" ht="13.5" customHeight="1" x14ac:dyDescent="0.2">
      <c r="A77" s="6"/>
      <c r="B77" s="34" t="s">
        <v>79</v>
      </c>
      <c r="C77" s="41">
        <f>C47+C54+C58+C61+C64+C72</f>
        <v>1367</v>
      </c>
      <c r="H77" s="42"/>
    </row>
    <row r="78" spans="1:8" ht="13.5" customHeight="1" x14ac:dyDescent="0.2">
      <c r="A78" s="24"/>
      <c r="B78" s="24"/>
    </row>
    <row r="79" spans="1:8" ht="13.5" customHeight="1" x14ac:dyDescent="0.2">
      <c r="A79" s="24"/>
      <c r="B79" s="24"/>
    </row>
    <row r="80" spans="1:8" ht="13.5" customHeight="1" x14ac:dyDescent="0.2">
      <c r="A80" s="74" t="s">
        <v>121</v>
      </c>
      <c r="B80" s="74"/>
      <c r="C80" s="74"/>
      <c r="D80" s="74"/>
      <c r="E80" s="74"/>
    </row>
    <row r="81" spans="1:5" ht="13.5" customHeight="1" x14ac:dyDescent="0.2">
      <c r="A81" s="90" t="s">
        <v>80</v>
      </c>
      <c r="B81" s="90"/>
      <c r="C81" s="90" t="s">
        <v>8</v>
      </c>
      <c r="D81" s="90"/>
      <c r="E81" s="44" t="s">
        <v>9</v>
      </c>
    </row>
    <row r="82" spans="1:5" ht="24" customHeight="1" x14ac:dyDescent="0.2">
      <c r="A82" s="116" t="s">
        <v>81</v>
      </c>
      <c r="B82" s="116"/>
      <c r="C82" s="61"/>
      <c r="D82" s="61"/>
      <c r="E82" s="7">
        <v>21.98</v>
      </c>
    </row>
    <row r="83" spans="1:5" x14ac:dyDescent="0.2">
      <c r="A83" s="61" t="s">
        <v>64</v>
      </c>
      <c r="B83" s="61"/>
      <c r="C83" s="117" t="s">
        <v>82</v>
      </c>
      <c r="D83" s="117"/>
      <c r="E83" s="45">
        <v>168</v>
      </c>
    </row>
    <row r="84" spans="1:5" ht="220.5" customHeight="1" x14ac:dyDescent="0.2">
      <c r="A84" s="61"/>
      <c r="B84" s="61"/>
      <c r="C84" s="117" t="s">
        <v>83</v>
      </c>
      <c r="D84" s="117"/>
      <c r="E84" s="45">
        <v>507.7</v>
      </c>
    </row>
    <row r="85" spans="1:5" x14ac:dyDescent="0.2">
      <c r="A85" s="61"/>
      <c r="B85" s="61"/>
      <c r="C85" s="117" t="s">
        <v>84</v>
      </c>
      <c r="D85" s="117"/>
      <c r="E85" s="45">
        <v>1728</v>
      </c>
    </row>
    <row r="86" spans="1:5" ht="17.25" customHeight="1" x14ac:dyDescent="0.2">
      <c r="A86" s="61"/>
      <c r="B86" s="61"/>
      <c r="C86" s="118" t="s">
        <v>85</v>
      </c>
      <c r="D86" s="118"/>
      <c r="E86" s="45">
        <v>50</v>
      </c>
    </row>
    <row r="87" spans="1:5" ht="17.25" customHeight="1" x14ac:dyDescent="0.2">
      <c r="A87" s="61"/>
      <c r="B87" s="61"/>
      <c r="C87" s="85" t="s">
        <v>86</v>
      </c>
      <c r="D87" s="85"/>
      <c r="E87" s="45">
        <v>418</v>
      </c>
    </row>
    <row r="88" spans="1:5" ht="17.25" customHeight="1" x14ac:dyDescent="0.2">
      <c r="A88" s="61"/>
      <c r="B88" s="61"/>
      <c r="C88" s="118" t="s">
        <v>87</v>
      </c>
      <c r="D88" s="118"/>
      <c r="E88" s="45">
        <v>697</v>
      </c>
    </row>
    <row r="89" spans="1:5" ht="42" customHeight="1" x14ac:dyDescent="0.2">
      <c r="A89" s="61"/>
      <c r="B89" s="61"/>
      <c r="C89" s="117" t="s">
        <v>88</v>
      </c>
      <c r="D89" s="117"/>
      <c r="E89" s="45">
        <v>5.4</v>
      </c>
    </row>
    <row r="90" spans="1:5" ht="17.25" customHeight="1" x14ac:dyDescent="0.2">
      <c r="A90" s="61"/>
      <c r="B90" s="61"/>
      <c r="C90" s="85" t="s">
        <v>89</v>
      </c>
      <c r="D90" s="85"/>
      <c r="E90" s="45">
        <v>136</v>
      </c>
    </row>
    <row r="91" spans="1:5" ht="17.25" customHeight="1" x14ac:dyDescent="0.2">
      <c r="A91" s="61"/>
      <c r="B91" s="61"/>
      <c r="C91" s="85" t="s">
        <v>90</v>
      </c>
      <c r="D91" s="85"/>
      <c r="E91" s="45">
        <v>112.3</v>
      </c>
    </row>
    <row r="92" spans="1:5" ht="17.25" customHeight="1" x14ac:dyDescent="0.2">
      <c r="A92" s="61"/>
      <c r="B92" s="61"/>
      <c r="C92" s="119" t="s">
        <v>91</v>
      </c>
      <c r="D92" s="119"/>
      <c r="E92" s="45">
        <v>366.38</v>
      </c>
    </row>
    <row r="93" spans="1:5" ht="13.5" customHeight="1" x14ac:dyDescent="0.2">
      <c r="A93" s="82" t="s">
        <v>92</v>
      </c>
      <c r="B93" s="82"/>
      <c r="C93" s="86"/>
      <c r="D93" s="86"/>
      <c r="E93" s="46">
        <f>C77</f>
        <v>1367</v>
      </c>
    </row>
    <row r="94" spans="1:5" ht="13.5" customHeight="1" x14ac:dyDescent="0.2">
      <c r="C94" s="81" t="s">
        <v>93</v>
      </c>
      <c r="D94" s="81"/>
      <c r="E94" s="47">
        <f>(E21+E82)-SUM(E83:E93)</f>
        <v>-31.199999999999818</v>
      </c>
    </row>
    <row r="95" spans="1:5" ht="13.5" customHeight="1" x14ac:dyDescent="0.2"/>
    <row r="96" spans="1:5" ht="13.5" customHeight="1" x14ac:dyDescent="0.2">
      <c r="A96" s="74" t="s">
        <v>122</v>
      </c>
      <c r="B96" s="74"/>
      <c r="C96" s="74"/>
      <c r="D96" s="74"/>
      <c r="E96" s="74"/>
    </row>
    <row r="97" spans="1:5" ht="13.5" customHeight="1" x14ac:dyDescent="0.2">
      <c r="A97" s="74" t="s">
        <v>80</v>
      </c>
      <c r="B97" s="74"/>
      <c r="C97" s="74" t="s">
        <v>8</v>
      </c>
      <c r="D97" s="74"/>
      <c r="E97" s="43" t="s">
        <v>9</v>
      </c>
    </row>
    <row r="98" spans="1:5" ht="13.5" customHeight="1" x14ac:dyDescent="0.2">
      <c r="A98" s="64" t="s">
        <v>94</v>
      </c>
      <c r="B98" s="64"/>
      <c r="C98" s="62"/>
      <c r="D98" s="62"/>
      <c r="E98" s="47">
        <f>E94</f>
        <v>-31.199999999999818</v>
      </c>
    </row>
    <row r="99" spans="1:5" ht="45.75" customHeight="1" x14ac:dyDescent="0.2">
      <c r="A99" s="61" t="s">
        <v>64</v>
      </c>
      <c r="B99" s="61"/>
      <c r="C99" s="84" t="s">
        <v>95</v>
      </c>
      <c r="D99" s="84"/>
      <c r="E99" s="48">
        <v>747.6</v>
      </c>
    </row>
    <row r="100" spans="1:5" ht="409" customHeight="1" x14ac:dyDescent="0.2">
      <c r="A100" s="61"/>
      <c r="B100" s="61"/>
      <c r="C100" s="77" t="s">
        <v>109</v>
      </c>
      <c r="D100" s="77"/>
      <c r="E100" s="48">
        <v>900.2</v>
      </c>
    </row>
    <row r="101" spans="1:5" ht="73.5" customHeight="1" x14ac:dyDescent="0.2">
      <c r="A101" s="61"/>
      <c r="B101" s="61"/>
      <c r="C101" s="77" t="s">
        <v>107</v>
      </c>
      <c r="D101" s="77"/>
      <c r="E101" s="48">
        <v>656.4</v>
      </c>
    </row>
    <row r="102" spans="1:5" ht="118.5" customHeight="1" x14ac:dyDescent="0.2">
      <c r="A102" s="61"/>
      <c r="B102" s="61"/>
      <c r="C102" s="77" t="s">
        <v>106</v>
      </c>
      <c r="D102" s="77"/>
      <c r="E102" s="48">
        <v>167.4</v>
      </c>
    </row>
    <row r="103" spans="1:5" ht="129.75" customHeight="1" x14ac:dyDescent="0.2">
      <c r="A103" s="61"/>
      <c r="B103" s="61"/>
      <c r="C103" s="78" t="s">
        <v>96</v>
      </c>
      <c r="D103" s="115"/>
      <c r="E103" s="48">
        <v>1109</v>
      </c>
    </row>
    <row r="104" spans="1:5" ht="13.5" customHeight="1" x14ac:dyDescent="0.2">
      <c r="A104" s="61" t="s">
        <v>92</v>
      </c>
      <c r="B104" s="61"/>
      <c r="C104" s="62"/>
      <c r="D104" s="62"/>
      <c r="E104" s="45">
        <f>C77</f>
        <v>1367</v>
      </c>
    </row>
    <row r="105" spans="1:5" ht="13.5" customHeight="1" x14ac:dyDescent="0.2">
      <c r="C105" s="63" t="s">
        <v>93</v>
      </c>
      <c r="D105" s="63"/>
      <c r="E105" s="47">
        <f>(E30+E98)-SUM(E99:E104)</f>
        <v>228.5</v>
      </c>
    </row>
    <row r="106" spans="1:5" ht="13.5" customHeight="1" x14ac:dyDescent="0.2">
      <c r="A106" s="49"/>
      <c r="B106" s="49"/>
      <c r="C106" s="49"/>
      <c r="D106" s="49"/>
      <c r="E106" s="49"/>
    </row>
    <row r="107" spans="1:5" ht="13.5" customHeight="1" x14ac:dyDescent="0.2">
      <c r="A107" s="49"/>
      <c r="B107" s="49"/>
      <c r="C107" s="49"/>
      <c r="D107" s="49"/>
      <c r="E107" s="49"/>
    </row>
    <row r="108" spans="1:5" ht="13.5" customHeight="1" x14ac:dyDescent="0.2">
      <c r="A108" s="73" t="s">
        <v>123</v>
      </c>
      <c r="B108" s="73"/>
      <c r="C108" s="73"/>
      <c r="D108" s="73"/>
      <c r="E108" s="73"/>
    </row>
    <row r="109" spans="1:5" ht="13.5" customHeight="1" x14ac:dyDescent="0.2">
      <c r="A109" s="74" t="s">
        <v>80</v>
      </c>
      <c r="B109" s="74"/>
      <c r="C109" s="74" t="s">
        <v>8</v>
      </c>
      <c r="D109" s="74"/>
      <c r="E109" s="43" t="s">
        <v>9</v>
      </c>
    </row>
    <row r="110" spans="1:5" ht="13.5" customHeight="1" x14ac:dyDescent="0.2">
      <c r="A110" s="64" t="s">
        <v>97</v>
      </c>
      <c r="B110" s="64"/>
      <c r="C110" s="62"/>
      <c r="D110" s="62"/>
      <c r="E110" s="47">
        <f>E105</f>
        <v>228.5</v>
      </c>
    </row>
    <row r="111" spans="1:5" ht="333" customHeight="1" x14ac:dyDescent="0.2">
      <c r="A111" s="65" t="s">
        <v>64</v>
      </c>
      <c r="B111" s="66"/>
      <c r="C111" s="112" t="s">
        <v>113</v>
      </c>
      <c r="D111" s="112"/>
      <c r="E111" s="45">
        <v>870.3</v>
      </c>
    </row>
    <row r="112" spans="1:5" ht="152" customHeight="1" x14ac:dyDescent="0.2">
      <c r="A112" s="67"/>
      <c r="B112" s="68"/>
      <c r="C112" s="113" t="s">
        <v>112</v>
      </c>
      <c r="D112" s="114"/>
      <c r="E112" s="45">
        <v>1428</v>
      </c>
    </row>
    <row r="113" spans="1:5" ht="151" customHeight="1" x14ac:dyDescent="0.2">
      <c r="A113" s="69"/>
      <c r="B113" s="70"/>
      <c r="C113" s="78" t="s">
        <v>116</v>
      </c>
      <c r="D113" s="115"/>
      <c r="E113" s="45">
        <v>225.5</v>
      </c>
    </row>
    <row r="114" spans="1:5" ht="13.5" customHeight="1" x14ac:dyDescent="0.2">
      <c r="A114" s="61" t="s">
        <v>92</v>
      </c>
      <c r="B114" s="61"/>
      <c r="C114" s="62"/>
      <c r="D114" s="62"/>
      <c r="E114" s="45">
        <f>C77</f>
        <v>1367</v>
      </c>
    </row>
    <row r="115" spans="1:5" ht="13.5" customHeight="1" x14ac:dyDescent="0.2">
      <c r="C115" s="63" t="s">
        <v>93</v>
      </c>
      <c r="D115" s="63"/>
      <c r="E115" s="47">
        <f>(E39+E110)-SUM(E111:E114)</f>
        <v>110.69999999999982</v>
      </c>
    </row>
    <row r="116" spans="1:5" ht="13.5" customHeight="1" x14ac:dyDescent="0.2">
      <c r="A116" s="24"/>
      <c r="B116" s="24"/>
    </row>
    <row r="117" spans="1:5" ht="13.5" customHeight="1" x14ac:dyDescent="0.2">
      <c r="A117" s="24"/>
      <c r="B117" s="24"/>
    </row>
    <row r="118" spans="1:5" ht="13.5" customHeight="1" x14ac:dyDescent="0.2">
      <c r="A118" s="24"/>
      <c r="B118" s="24"/>
    </row>
    <row r="119" spans="1:5" ht="13.5" customHeight="1" x14ac:dyDescent="0.2">
      <c r="A119" s="24"/>
      <c r="B119" s="24"/>
    </row>
    <row r="120" spans="1:5" ht="13.5" customHeight="1" x14ac:dyDescent="0.2">
      <c r="A120" s="24"/>
      <c r="B120" s="24"/>
    </row>
    <row r="121" spans="1:5" ht="13.5" customHeight="1" x14ac:dyDescent="0.2">
      <c r="A121" s="24"/>
      <c r="B121" s="24"/>
    </row>
    <row r="122" spans="1:5" ht="13.5" customHeight="1" x14ac:dyDescent="0.2">
      <c r="A122" s="24"/>
      <c r="B122" s="24"/>
    </row>
    <row r="123" spans="1:5" ht="13.5" customHeight="1" x14ac:dyDescent="0.2">
      <c r="A123" s="24"/>
      <c r="B123" s="24"/>
    </row>
    <row r="124" spans="1:5" ht="13.5" customHeight="1" x14ac:dyDescent="0.2">
      <c r="A124" s="24"/>
      <c r="B124" s="24"/>
    </row>
    <row r="125" spans="1:5" ht="13.5" customHeight="1" x14ac:dyDescent="0.2">
      <c r="A125" s="24"/>
      <c r="B125" s="24"/>
    </row>
    <row r="126" spans="1:5" ht="13.5" customHeight="1" x14ac:dyDescent="0.2">
      <c r="A126" s="24"/>
      <c r="B126" s="24"/>
    </row>
    <row r="127" spans="1:5" ht="13.5" customHeight="1" x14ac:dyDescent="0.2">
      <c r="A127" s="24"/>
      <c r="B127" s="24"/>
    </row>
    <row r="128" spans="1:5" ht="13.5" customHeight="1" x14ac:dyDescent="0.2">
      <c r="A128" s="24"/>
      <c r="B128" s="24"/>
    </row>
    <row r="129" spans="1:2" ht="13.5" customHeight="1" x14ac:dyDescent="0.2">
      <c r="A129" s="24"/>
      <c r="B129" s="24"/>
    </row>
    <row r="130" spans="1:2" ht="13.5" customHeight="1" x14ac:dyDescent="0.2">
      <c r="A130" s="24"/>
      <c r="B130" s="24"/>
    </row>
    <row r="131" spans="1:2" ht="13.5" customHeight="1" x14ac:dyDescent="0.2">
      <c r="A131" s="24"/>
      <c r="B131" s="24"/>
    </row>
    <row r="132" spans="1:2" ht="13.5" customHeight="1" x14ac:dyDescent="0.2">
      <c r="A132" s="24"/>
      <c r="B132" s="24"/>
    </row>
    <row r="133" spans="1:2" ht="13.5" customHeight="1" x14ac:dyDescent="0.2">
      <c r="A133" s="24"/>
      <c r="B133" s="24"/>
    </row>
    <row r="134" spans="1:2" ht="13.5" customHeight="1" x14ac:dyDescent="0.2">
      <c r="A134" s="24"/>
      <c r="B134" s="24"/>
    </row>
    <row r="135" spans="1:2" ht="13.5" customHeight="1" x14ac:dyDescent="0.2">
      <c r="A135" s="24"/>
      <c r="B135" s="24"/>
    </row>
    <row r="136" spans="1:2" ht="13.5" customHeight="1" x14ac:dyDescent="0.2">
      <c r="A136" s="24"/>
      <c r="B136" s="24"/>
    </row>
    <row r="137" spans="1:2" ht="13.5" customHeight="1" x14ac:dyDescent="0.2">
      <c r="A137" s="24"/>
      <c r="B137" s="24"/>
    </row>
    <row r="138" spans="1:2" ht="13.5" customHeight="1" x14ac:dyDescent="0.2">
      <c r="A138" s="24"/>
      <c r="B138" s="24"/>
    </row>
    <row r="139" spans="1:2" ht="13.5" customHeight="1" x14ac:dyDescent="0.2">
      <c r="A139" s="24"/>
      <c r="B139" s="24"/>
    </row>
    <row r="140" spans="1:2" ht="13.5" customHeight="1" x14ac:dyDescent="0.2">
      <c r="A140" s="24"/>
      <c r="B140" s="24"/>
    </row>
    <row r="141" spans="1:2" ht="13.5" customHeight="1" x14ac:dyDescent="0.2">
      <c r="A141" s="24"/>
      <c r="B141" s="24"/>
    </row>
    <row r="142" spans="1:2" ht="13.5" customHeight="1" x14ac:dyDescent="0.2">
      <c r="A142" s="24"/>
      <c r="B142" s="24"/>
    </row>
    <row r="143" spans="1:2" ht="13.5" customHeight="1" x14ac:dyDescent="0.2">
      <c r="A143" s="24"/>
      <c r="B143" s="24"/>
    </row>
    <row r="144" spans="1:2" ht="13.5" customHeight="1" x14ac:dyDescent="0.2">
      <c r="A144" s="24"/>
      <c r="B144" s="24"/>
    </row>
    <row r="145" spans="1:2" ht="13.5" customHeight="1" x14ac:dyDescent="0.2">
      <c r="A145" s="24"/>
      <c r="B145" s="24"/>
    </row>
    <row r="146" spans="1:2" ht="13.5" customHeight="1" x14ac:dyDescent="0.2">
      <c r="A146" s="24"/>
      <c r="B146" s="24"/>
    </row>
    <row r="147" spans="1:2" ht="13.5" customHeight="1" x14ac:dyDescent="0.2">
      <c r="A147" s="24"/>
      <c r="B147" s="24"/>
    </row>
    <row r="148" spans="1:2" ht="13.5" customHeight="1" x14ac:dyDescent="0.2">
      <c r="A148" s="24"/>
      <c r="B148" s="24"/>
    </row>
    <row r="149" spans="1:2" ht="13.5" customHeight="1" x14ac:dyDescent="0.2">
      <c r="A149" s="24"/>
      <c r="B149" s="24"/>
    </row>
    <row r="150" spans="1:2" ht="13.5" customHeight="1" x14ac:dyDescent="0.2">
      <c r="A150" s="24"/>
      <c r="B150" s="24"/>
    </row>
    <row r="151" spans="1:2" ht="13.5" customHeight="1" x14ac:dyDescent="0.2">
      <c r="A151" s="24"/>
      <c r="B151" s="24"/>
    </row>
    <row r="152" spans="1:2" ht="13.5" customHeight="1" x14ac:dyDescent="0.2">
      <c r="A152" s="24"/>
      <c r="B152" s="24"/>
    </row>
    <row r="153" spans="1:2" ht="13.5" customHeight="1" x14ac:dyDescent="0.2">
      <c r="A153" s="24"/>
      <c r="B153" s="24"/>
    </row>
    <row r="154" spans="1:2" ht="13.5" customHeight="1" x14ac:dyDescent="0.2">
      <c r="A154" s="24"/>
      <c r="B154" s="24"/>
    </row>
    <row r="155" spans="1:2" ht="13.5" customHeight="1" x14ac:dyDescent="0.2">
      <c r="A155" s="24"/>
      <c r="B155" s="24"/>
    </row>
    <row r="156" spans="1:2" ht="13.5" customHeight="1" x14ac:dyDescent="0.2">
      <c r="A156" s="24"/>
      <c r="B156" s="24"/>
    </row>
    <row r="157" spans="1:2" ht="13.5" customHeight="1" x14ac:dyDescent="0.2">
      <c r="A157" s="24"/>
      <c r="B157" s="24"/>
    </row>
    <row r="158" spans="1:2" ht="13.5" customHeight="1" x14ac:dyDescent="0.2">
      <c r="A158" s="24"/>
      <c r="B158" s="24"/>
    </row>
    <row r="159" spans="1:2" ht="13.5" customHeight="1" x14ac:dyDescent="0.2">
      <c r="A159" s="24"/>
      <c r="B159" s="24"/>
    </row>
    <row r="160" spans="1:2" ht="13.5" customHeight="1" x14ac:dyDescent="0.2">
      <c r="A160" s="24"/>
      <c r="B160" s="24"/>
    </row>
    <row r="161" spans="1:2" ht="13.5" customHeight="1" x14ac:dyDescent="0.2">
      <c r="A161" s="24"/>
      <c r="B161" s="24"/>
    </row>
    <row r="162" spans="1:2" ht="13.5" customHeight="1" x14ac:dyDescent="0.2">
      <c r="A162" s="24"/>
      <c r="B162" s="24"/>
    </row>
    <row r="163" spans="1:2" ht="13.5" customHeight="1" x14ac:dyDescent="0.2">
      <c r="A163" s="24"/>
      <c r="B163" s="24"/>
    </row>
    <row r="164" spans="1:2" ht="13.5" customHeight="1" x14ac:dyDescent="0.2">
      <c r="A164" s="24"/>
      <c r="B164" s="24"/>
    </row>
    <row r="165" spans="1:2" ht="13.5" customHeight="1" x14ac:dyDescent="0.2">
      <c r="A165" s="24"/>
      <c r="B165" s="24"/>
    </row>
    <row r="166" spans="1:2" ht="13.5" customHeight="1" x14ac:dyDescent="0.2">
      <c r="A166" s="24"/>
      <c r="B166" s="24"/>
    </row>
    <row r="167" spans="1:2" ht="13.5" customHeight="1" x14ac:dyDescent="0.2">
      <c r="A167" s="24"/>
      <c r="B167" s="24"/>
    </row>
    <row r="168" spans="1:2" ht="13.5" customHeight="1" x14ac:dyDescent="0.2">
      <c r="A168" s="24"/>
      <c r="B168" s="24"/>
    </row>
    <row r="169" spans="1:2" ht="13.5" customHeight="1" x14ac:dyDescent="0.2">
      <c r="A169" s="24"/>
      <c r="B169" s="24"/>
    </row>
    <row r="170" spans="1:2" ht="13.5" customHeight="1" x14ac:dyDescent="0.2">
      <c r="A170" s="24"/>
      <c r="B170" s="24"/>
    </row>
    <row r="171" spans="1:2" ht="13.5" customHeight="1" x14ac:dyDescent="0.2">
      <c r="A171" s="24"/>
      <c r="B171" s="24"/>
    </row>
    <row r="172" spans="1:2" ht="13.5" customHeight="1" x14ac:dyDescent="0.2">
      <c r="A172" s="24"/>
      <c r="B172" s="24"/>
    </row>
    <row r="173" spans="1:2" ht="13.5" customHeight="1" x14ac:dyDescent="0.2">
      <c r="A173" s="24"/>
      <c r="B173" s="24"/>
    </row>
    <row r="174" spans="1:2" ht="13.5" customHeight="1" x14ac:dyDescent="0.2">
      <c r="A174" s="24"/>
      <c r="B174" s="24"/>
    </row>
    <row r="175" spans="1:2" ht="13.5" customHeight="1" x14ac:dyDescent="0.2">
      <c r="A175" s="24"/>
      <c r="B175" s="24"/>
    </row>
    <row r="176" spans="1:2" ht="13.5" customHeight="1" x14ac:dyDescent="0.2">
      <c r="A176" s="24"/>
      <c r="B176" s="24"/>
    </row>
    <row r="177" spans="1:2" ht="13.5" customHeight="1" x14ac:dyDescent="0.2">
      <c r="A177" s="24"/>
      <c r="B177" s="24"/>
    </row>
    <row r="178" spans="1:2" ht="13.5" customHeight="1" x14ac:dyDescent="0.2">
      <c r="A178" s="24"/>
      <c r="B178" s="24"/>
    </row>
    <row r="179" spans="1:2" ht="13.5" customHeight="1" x14ac:dyDescent="0.2">
      <c r="A179" s="24"/>
      <c r="B179" s="24"/>
    </row>
    <row r="180" spans="1:2" ht="13.5" customHeight="1" x14ac:dyDescent="0.2">
      <c r="A180" s="24"/>
      <c r="B180" s="24"/>
    </row>
    <row r="181" spans="1:2" ht="13.5" customHeight="1" x14ac:dyDescent="0.2">
      <c r="A181" s="24"/>
      <c r="B181" s="24"/>
    </row>
    <row r="182" spans="1:2" ht="13.5" customHeight="1" x14ac:dyDescent="0.2">
      <c r="A182" s="24"/>
      <c r="B182" s="24"/>
    </row>
    <row r="183" spans="1:2" ht="13.5" customHeight="1" x14ac:dyDescent="0.2">
      <c r="A183" s="24"/>
      <c r="B183" s="24"/>
    </row>
    <row r="184" spans="1:2" ht="13.5" customHeight="1" x14ac:dyDescent="0.2">
      <c r="A184" s="24"/>
      <c r="B184" s="24"/>
    </row>
    <row r="185" spans="1:2" ht="13.5" customHeight="1" x14ac:dyDescent="0.2">
      <c r="A185" s="24"/>
      <c r="B185" s="24"/>
    </row>
    <row r="186" spans="1:2" ht="13.5" customHeight="1" x14ac:dyDescent="0.2">
      <c r="A186" s="24"/>
      <c r="B186" s="24"/>
    </row>
    <row r="187" spans="1:2" ht="13.5" customHeight="1" x14ac:dyDescent="0.2">
      <c r="A187" s="24"/>
      <c r="B187" s="24"/>
    </row>
    <row r="188" spans="1:2" ht="13.5" customHeight="1" x14ac:dyDescent="0.2">
      <c r="A188" s="24"/>
      <c r="B188" s="24"/>
    </row>
    <row r="189" spans="1:2" ht="13.5" customHeight="1" x14ac:dyDescent="0.2">
      <c r="A189" s="24"/>
      <c r="B189" s="24"/>
    </row>
    <row r="190" spans="1:2" ht="13.5" customHeight="1" x14ac:dyDescent="0.2">
      <c r="A190" s="24"/>
      <c r="B190" s="24"/>
    </row>
    <row r="191" spans="1:2" ht="13.5" customHeight="1" x14ac:dyDescent="0.2">
      <c r="A191" s="24"/>
      <c r="B191" s="24"/>
    </row>
    <row r="192" spans="1:2" ht="13.5" customHeight="1" x14ac:dyDescent="0.2">
      <c r="A192" s="24"/>
      <c r="B192" s="24"/>
    </row>
    <row r="193" spans="1:2" ht="13.5" customHeight="1" x14ac:dyDescent="0.2">
      <c r="A193" s="24"/>
      <c r="B193" s="24"/>
    </row>
    <row r="194" spans="1:2" ht="13.5" customHeight="1" x14ac:dyDescent="0.2">
      <c r="A194" s="24"/>
      <c r="B194" s="24"/>
    </row>
    <row r="195" spans="1:2" ht="13.5" customHeight="1" x14ac:dyDescent="0.2">
      <c r="A195" s="24"/>
      <c r="B195" s="24"/>
    </row>
    <row r="196" spans="1:2" ht="13.5" customHeight="1" x14ac:dyDescent="0.2">
      <c r="A196" s="24"/>
      <c r="B196" s="24"/>
    </row>
    <row r="197" spans="1:2" ht="13.5" customHeight="1" x14ac:dyDescent="0.2">
      <c r="A197" s="24"/>
      <c r="B197" s="24"/>
    </row>
    <row r="198" spans="1:2" ht="13.5" customHeight="1" x14ac:dyDescent="0.2">
      <c r="A198" s="24"/>
      <c r="B198" s="24"/>
    </row>
    <row r="199" spans="1:2" ht="13.5" customHeight="1" x14ac:dyDescent="0.2">
      <c r="A199" s="24"/>
      <c r="B199" s="24"/>
    </row>
    <row r="200" spans="1:2" ht="13.5" customHeight="1" x14ac:dyDescent="0.2">
      <c r="A200" s="24"/>
      <c r="B200" s="24"/>
    </row>
    <row r="201" spans="1:2" ht="13.5" customHeight="1" x14ac:dyDescent="0.2">
      <c r="A201" s="24"/>
      <c r="B201" s="24"/>
    </row>
    <row r="202" spans="1:2" ht="13.5" customHeight="1" x14ac:dyDescent="0.2">
      <c r="A202" s="24"/>
      <c r="B202" s="24"/>
    </row>
    <row r="203" spans="1:2" ht="13.5" customHeight="1" x14ac:dyDescent="0.2">
      <c r="A203" s="24"/>
      <c r="B203" s="24"/>
    </row>
    <row r="204" spans="1:2" ht="13.5" customHeight="1" x14ac:dyDescent="0.2">
      <c r="A204" s="24"/>
      <c r="B204" s="24"/>
    </row>
    <row r="205" spans="1:2" ht="13.5" customHeight="1" x14ac:dyDescent="0.2">
      <c r="A205" s="24"/>
      <c r="B205" s="24"/>
    </row>
    <row r="206" spans="1:2" ht="13.5" customHeight="1" x14ac:dyDescent="0.2">
      <c r="A206" s="24"/>
      <c r="B206" s="24"/>
    </row>
    <row r="207" spans="1:2" ht="13.5" customHeight="1" x14ac:dyDescent="0.2">
      <c r="A207" s="24"/>
      <c r="B207" s="24"/>
    </row>
    <row r="208" spans="1:2" ht="13.5" customHeight="1" x14ac:dyDescent="0.2">
      <c r="A208" s="24"/>
      <c r="B208" s="24"/>
    </row>
    <row r="209" spans="1:2" ht="13.5" customHeight="1" x14ac:dyDescent="0.2">
      <c r="A209" s="24"/>
      <c r="B209" s="24"/>
    </row>
    <row r="210" spans="1:2" ht="13.5" customHeight="1" x14ac:dyDescent="0.2">
      <c r="A210" s="24"/>
      <c r="B210" s="24"/>
    </row>
    <row r="211" spans="1:2" ht="13.5" customHeight="1" x14ac:dyDescent="0.2">
      <c r="A211" s="24"/>
      <c r="B211" s="24"/>
    </row>
    <row r="212" spans="1:2" ht="13.5" customHeight="1" x14ac:dyDescent="0.2">
      <c r="A212" s="24"/>
      <c r="B212" s="24"/>
    </row>
    <row r="213" spans="1:2" ht="13.5" customHeight="1" x14ac:dyDescent="0.2">
      <c r="A213" s="24"/>
      <c r="B213" s="24"/>
    </row>
    <row r="214" spans="1:2" ht="13.5" customHeight="1" x14ac:dyDescent="0.2">
      <c r="A214" s="24"/>
      <c r="B214" s="24"/>
    </row>
    <row r="215" spans="1:2" ht="13.5" customHeight="1" x14ac:dyDescent="0.2">
      <c r="A215" s="24"/>
      <c r="B215" s="24"/>
    </row>
    <row r="216" spans="1:2" ht="13.5" customHeight="1" x14ac:dyDescent="0.2">
      <c r="A216" s="24"/>
      <c r="B216" s="24"/>
    </row>
    <row r="217" spans="1:2" ht="13.5" customHeight="1" x14ac:dyDescent="0.2">
      <c r="A217" s="24"/>
      <c r="B217" s="24"/>
    </row>
    <row r="218" spans="1:2" ht="13.5" customHeight="1" x14ac:dyDescent="0.2">
      <c r="A218" s="24"/>
      <c r="B218" s="24"/>
    </row>
    <row r="219" spans="1:2" ht="13.5" customHeight="1" x14ac:dyDescent="0.2">
      <c r="A219" s="24"/>
      <c r="B219" s="24"/>
    </row>
    <row r="220" spans="1:2" ht="13.5" customHeight="1" x14ac:dyDescent="0.2">
      <c r="A220" s="24"/>
      <c r="B220" s="24"/>
    </row>
    <row r="221" spans="1:2" ht="13.5" customHeight="1" x14ac:dyDescent="0.2">
      <c r="A221" s="24"/>
      <c r="B221" s="24"/>
    </row>
    <row r="222" spans="1:2" ht="13.5" customHeight="1" x14ac:dyDescent="0.2">
      <c r="A222" s="24"/>
      <c r="B222" s="24"/>
    </row>
    <row r="223" spans="1:2" ht="13.5" customHeight="1" x14ac:dyDescent="0.2">
      <c r="A223" s="24"/>
      <c r="B223" s="24"/>
    </row>
    <row r="224" spans="1:2" ht="13.5" customHeight="1" x14ac:dyDescent="0.2">
      <c r="A224" s="24"/>
      <c r="B224" s="24"/>
    </row>
    <row r="225" spans="1:2" ht="13.5" customHeight="1" x14ac:dyDescent="0.2">
      <c r="A225" s="24"/>
      <c r="B225" s="24"/>
    </row>
    <row r="226" spans="1:2" ht="13.5" customHeight="1" x14ac:dyDescent="0.2">
      <c r="A226" s="24"/>
      <c r="B226" s="24"/>
    </row>
    <row r="227" spans="1:2" ht="13.5" customHeight="1" x14ac:dyDescent="0.2">
      <c r="A227" s="24"/>
      <c r="B227" s="24"/>
    </row>
    <row r="228" spans="1:2" ht="13.5" customHeight="1" x14ac:dyDescent="0.2">
      <c r="A228" s="24"/>
      <c r="B228" s="24"/>
    </row>
    <row r="229" spans="1:2" ht="13.5" customHeight="1" x14ac:dyDescent="0.2">
      <c r="A229" s="24"/>
      <c r="B229" s="24"/>
    </row>
    <row r="230" spans="1:2" ht="13.5" customHeight="1" x14ac:dyDescent="0.2">
      <c r="A230" s="24"/>
      <c r="B230" s="24"/>
    </row>
    <row r="231" spans="1:2" ht="13.5" customHeight="1" x14ac:dyDescent="0.2">
      <c r="A231" s="24"/>
      <c r="B231" s="24"/>
    </row>
    <row r="232" spans="1:2" ht="13.5" customHeight="1" x14ac:dyDescent="0.2">
      <c r="A232" s="24"/>
      <c r="B232" s="24"/>
    </row>
    <row r="233" spans="1:2" ht="13.5" customHeight="1" x14ac:dyDescent="0.2">
      <c r="A233" s="24"/>
      <c r="B233" s="24"/>
    </row>
    <row r="234" spans="1:2" ht="13.5" customHeight="1" x14ac:dyDescent="0.2">
      <c r="A234" s="24"/>
      <c r="B234" s="24"/>
    </row>
    <row r="235" spans="1:2" ht="13.5" customHeight="1" x14ac:dyDescent="0.2">
      <c r="A235" s="24"/>
      <c r="B235" s="24"/>
    </row>
    <row r="236" spans="1:2" ht="13.5" customHeight="1" x14ac:dyDescent="0.2">
      <c r="A236" s="24"/>
      <c r="B236" s="24"/>
    </row>
    <row r="237" spans="1:2" ht="13.5" customHeight="1" x14ac:dyDescent="0.2">
      <c r="A237" s="24"/>
      <c r="B237" s="24"/>
    </row>
    <row r="238" spans="1:2" ht="13.5" customHeight="1" x14ac:dyDescent="0.2">
      <c r="A238" s="24"/>
      <c r="B238" s="24"/>
    </row>
    <row r="239" spans="1:2" ht="13.5" customHeight="1" x14ac:dyDescent="0.2">
      <c r="A239" s="24"/>
      <c r="B239" s="24"/>
    </row>
    <row r="240" spans="1:2" ht="13.5" customHeight="1" x14ac:dyDescent="0.2">
      <c r="A240" s="24"/>
      <c r="B240" s="24"/>
    </row>
    <row r="241" spans="1:2" ht="13.5" customHeight="1" x14ac:dyDescent="0.2">
      <c r="A241" s="24"/>
      <c r="B241" s="24"/>
    </row>
    <row r="242" spans="1:2" ht="13.5" customHeight="1" x14ac:dyDescent="0.2">
      <c r="A242" s="24"/>
      <c r="B242" s="24"/>
    </row>
    <row r="243" spans="1:2" ht="13.5" customHeight="1" x14ac:dyDescent="0.2">
      <c r="A243" s="24"/>
      <c r="B243" s="24"/>
    </row>
    <row r="244" spans="1:2" ht="13.5" customHeight="1" x14ac:dyDescent="0.2">
      <c r="A244" s="24"/>
      <c r="B244" s="24"/>
    </row>
    <row r="245" spans="1:2" ht="13.5" customHeight="1" x14ac:dyDescent="0.2">
      <c r="A245" s="24"/>
      <c r="B245" s="24"/>
    </row>
    <row r="246" spans="1:2" ht="13.5" customHeight="1" x14ac:dyDescent="0.2">
      <c r="A246" s="24"/>
      <c r="B246" s="24"/>
    </row>
    <row r="247" spans="1:2" ht="13.5" customHeight="1" x14ac:dyDescent="0.2">
      <c r="A247" s="24"/>
      <c r="B247" s="24"/>
    </row>
    <row r="248" spans="1:2" ht="13.5" customHeight="1" x14ac:dyDescent="0.2">
      <c r="A248" s="24"/>
      <c r="B248" s="24"/>
    </row>
    <row r="249" spans="1:2" ht="13.5" customHeight="1" x14ac:dyDescent="0.2">
      <c r="A249" s="24"/>
      <c r="B249" s="24"/>
    </row>
    <row r="250" spans="1:2" ht="13.5" customHeight="1" x14ac:dyDescent="0.2">
      <c r="A250" s="24"/>
      <c r="B250" s="24"/>
    </row>
    <row r="251" spans="1:2" ht="13.5" customHeight="1" x14ac:dyDescent="0.2">
      <c r="A251" s="24"/>
      <c r="B251" s="24"/>
    </row>
    <row r="252" spans="1:2" ht="13.5" customHeight="1" x14ac:dyDescent="0.2">
      <c r="A252" s="24"/>
      <c r="B252" s="24"/>
    </row>
    <row r="253" spans="1:2" ht="13.5" customHeight="1" x14ac:dyDescent="0.2">
      <c r="A253" s="24"/>
      <c r="B253" s="24"/>
    </row>
    <row r="254" spans="1:2" ht="13.5" customHeight="1" x14ac:dyDescent="0.2">
      <c r="A254" s="24"/>
      <c r="B254" s="24"/>
    </row>
    <row r="255" spans="1:2" ht="13.5" customHeight="1" x14ac:dyDescent="0.2">
      <c r="A255" s="24"/>
      <c r="B255" s="24"/>
    </row>
    <row r="256" spans="1:2" ht="13.5" customHeight="1" x14ac:dyDescent="0.2">
      <c r="A256" s="24"/>
      <c r="B256" s="24"/>
    </row>
    <row r="257" spans="1:2" ht="13.5" customHeight="1" x14ac:dyDescent="0.2">
      <c r="A257" s="24"/>
      <c r="B257" s="24"/>
    </row>
    <row r="258" spans="1:2" ht="13.5" customHeight="1" x14ac:dyDescent="0.2">
      <c r="A258" s="24"/>
      <c r="B258" s="24"/>
    </row>
    <row r="259" spans="1:2" ht="13.5" customHeight="1" x14ac:dyDescent="0.2">
      <c r="A259" s="24"/>
      <c r="B259" s="24"/>
    </row>
    <row r="260" spans="1:2" ht="13.5" customHeight="1" x14ac:dyDescent="0.2">
      <c r="A260" s="24"/>
      <c r="B260" s="24"/>
    </row>
    <row r="261" spans="1:2" ht="13.5" customHeight="1" x14ac:dyDescent="0.2">
      <c r="A261" s="24"/>
      <c r="B261" s="24"/>
    </row>
    <row r="262" spans="1:2" ht="13.5" customHeight="1" x14ac:dyDescent="0.2">
      <c r="A262" s="24"/>
      <c r="B262" s="24"/>
    </row>
    <row r="263" spans="1:2" ht="13.5" customHeight="1" x14ac:dyDescent="0.2">
      <c r="A263" s="24"/>
      <c r="B263" s="24"/>
    </row>
    <row r="264" spans="1:2" ht="13.5" customHeight="1" x14ac:dyDescent="0.2">
      <c r="A264" s="24"/>
      <c r="B264" s="24"/>
    </row>
    <row r="265" spans="1:2" ht="13.5" customHeight="1" x14ac:dyDescent="0.2">
      <c r="A265" s="24"/>
      <c r="B265" s="24"/>
    </row>
    <row r="266" spans="1:2" ht="13.5" customHeight="1" x14ac:dyDescent="0.2">
      <c r="A266" s="24"/>
      <c r="B266" s="24"/>
    </row>
    <row r="267" spans="1:2" ht="13.5" customHeight="1" x14ac:dyDescent="0.2">
      <c r="A267" s="24"/>
      <c r="B267" s="24"/>
    </row>
    <row r="268" spans="1:2" ht="13.5" customHeight="1" x14ac:dyDescent="0.2">
      <c r="A268" s="24"/>
      <c r="B268" s="24"/>
    </row>
    <row r="269" spans="1:2" ht="13.5" customHeight="1" x14ac:dyDescent="0.2">
      <c r="A269" s="24"/>
      <c r="B269" s="24"/>
    </row>
    <row r="270" spans="1:2" ht="13.5" customHeight="1" x14ac:dyDescent="0.2">
      <c r="A270" s="24"/>
      <c r="B270" s="24"/>
    </row>
    <row r="271" spans="1:2" ht="13.5" customHeight="1" x14ac:dyDescent="0.2">
      <c r="A271" s="24"/>
      <c r="B271" s="24"/>
    </row>
    <row r="272" spans="1:2" ht="13.5" customHeight="1" x14ac:dyDescent="0.2">
      <c r="A272" s="24"/>
      <c r="B272" s="24"/>
    </row>
    <row r="273" spans="1:2" ht="13.5" customHeight="1" x14ac:dyDescent="0.2">
      <c r="A273" s="24"/>
      <c r="B273" s="24"/>
    </row>
    <row r="274" spans="1:2" ht="13.5" customHeight="1" x14ac:dyDescent="0.2">
      <c r="A274" s="24"/>
      <c r="B274" s="24"/>
    </row>
    <row r="275" spans="1:2" ht="13.5" customHeight="1" x14ac:dyDescent="0.2">
      <c r="A275" s="24"/>
      <c r="B275" s="24"/>
    </row>
    <row r="276" spans="1:2" ht="13.5" customHeight="1" x14ac:dyDescent="0.2">
      <c r="A276" s="24"/>
      <c r="B276" s="24"/>
    </row>
    <row r="277" spans="1:2" ht="13.5" customHeight="1" x14ac:dyDescent="0.2">
      <c r="A277" s="24"/>
      <c r="B277" s="24"/>
    </row>
    <row r="278" spans="1:2" ht="13.5" customHeight="1" x14ac:dyDescent="0.2">
      <c r="A278" s="24"/>
      <c r="B278" s="24"/>
    </row>
    <row r="279" spans="1:2" ht="13.5" customHeight="1" x14ac:dyDescent="0.2">
      <c r="A279" s="24"/>
      <c r="B279" s="24"/>
    </row>
    <row r="280" spans="1:2" ht="13.5" customHeight="1" x14ac:dyDescent="0.2">
      <c r="A280" s="24"/>
      <c r="B280" s="24"/>
    </row>
    <row r="281" spans="1:2" ht="13.5" customHeight="1" x14ac:dyDescent="0.2">
      <c r="A281" s="24"/>
      <c r="B281" s="24"/>
    </row>
    <row r="282" spans="1:2" ht="13.5" customHeight="1" x14ac:dyDescent="0.2">
      <c r="A282" s="24"/>
      <c r="B282" s="24"/>
    </row>
    <row r="283" spans="1:2" ht="13.5" customHeight="1" x14ac:dyDescent="0.2">
      <c r="A283" s="24"/>
      <c r="B283" s="24"/>
    </row>
    <row r="284" spans="1:2" ht="13.5" customHeight="1" x14ac:dyDescent="0.2">
      <c r="A284" s="24"/>
      <c r="B284" s="24"/>
    </row>
    <row r="285" spans="1:2" ht="13.5" customHeight="1" x14ac:dyDescent="0.2">
      <c r="A285" s="24"/>
      <c r="B285" s="24"/>
    </row>
    <row r="286" spans="1:2" ht="13.5" customHeight="1" x14ac:dyDescent="0.2">
      <c r="A286" s="24"/>
      <c r="B286" s="24"/>
    </row>
    <row r="287" spans="1:2" ht="13.5" customHeight="1" x14ac:dyDescent="0.2">
      <c r="A287" s="24"/>
      <c r="B287" s="24"/>
    </row>
    <row r="288" spans="1:2" ht="13.5" customHeight="1" x14ac:dyDescent="0.2">
      <c r="A288" s="24"/>
      <c r="B288" s="24"/>
    </row>
    <row r="289" spans="1:2" ht="13.5" customHeight="1" x14ac:dyDescent="0.2">
      <c r="A289" s="24"/>
      <c r="B289" s="24"/>
    </row>
    <row r="290" spans="1:2" ht="13.5" customHeight="1" x14ac:dyDescent="0.2">
      <c r="A290" s="24"/>
      <c r="B290" s="24"/>
    </row>
    <row r="291" spans="1:2" ht="13.5" customHeight="1" x14ac:dyDescent="0.2">
      <c r="A291" s="24"/>
      <c r="B291" s="24"/>
    </row>
    <row r="292" spans="1:2" ht="13.5" customHeight="1" x14ac:dyDescent="0.2">
      <c r="A292" s="24"/>
      <c r="B292" s="24"/>
    </row>
    <row r="293" spans="1:2" ht="13.5" customHeight="1" x14ac:dyDescent="0.2">
      <c r="A293" s="24"/>
      <c r="B293" s="24"/>
    </row>
    <row r="294" spans="1:2" ht="13.5" customHeight="1" x14ac:dyDescent="0.2">
      <c r="A294" s="24"/>
      <c r="B294" s="24"/>
    </row>
    <row r="295" spans="1:2" ht="13.5" customHeight="1" x14ac:dyDescent="0.2">
      <c r="A295" s="24"/>
      <c r="B295" s="24"/>
    </row>
    <row r="296" spans="1:2" ht="13.5" customHeight="1" x14ac:dyDescent="0.2">
      <c r="A296" s="24"/>
      <c r="B296" s="24"/>
    </row>
    <row r="297" spans="1:2" ht="13.5" customHeight="1" x14ac:dyDescent="0.2">
      <c r="A297" s="24"/>
      <c r="B297" s="24"/>
    </row>
    <row r="298" spans="1:2" ht="13.5" customHeight="1" x14ac:dyDescent="0.2">
      <c r="A298" s="24"/>
      <c r="B298" s="24"/>
    </row>
    <row r="299" spans="1:2" ht="13.5" customHeight="1" x14ac:dyDescent="0.2">
      <c r="A299" s="24"/>
      <c r="B299" s="24"/>
    </row>
    <row r="300" spans="1:2" ht="13.5" customHeight="1" x14ac:dyDescent="0.2">
      <c r="A300" s="24"/>
      <c r="B300" s="24"/>
    </row>
    <row r="301" spans="1:2" ht="13.5" customHeight="1" x14ac:dyDescent="0.2">
      <c r="A301" s="24"/>
      <c r="B301" s="24"/>
    </row>
    <row r="302" spans="1:2" ht="13.5" customHeight="1" x14ac:dyDescent="0.2">
      <c r="A302" s="24"/>
      <c r="B302" s="24"/>
    </row>
    <row r="303" spans="1:2" ht="13.5" customHeight="1" x14ac:dyDescent="0.2">
      <c r="A303" s="24"/>
      <c r="B303" s="24"/>
    </row>
    <row r="304" spans="1:2" ht="13.5" customHeight="1" x14ac:dyDescent="0.2">
      <c r="A304" s="24"/>
      <c r="B304" s="24"/>
    </row>
    <row r="305" spans="1:2" ht="13.5" customHeight="1" x14ac:dyDescent="0.2">
      <c r="A305" s="24"/>
      <c r="B305" s="24"/>
    </row>
    <row r="306" spans="1:2" ht="13.5" customHeight="1" x14ac:dyDescent="0.2">
      <c r="A306" s="24"/>
      <c r="B306" s="24"/>
    </row>
    <row r="307" spans="1:2" ht="13.5" customHeight="1" x14ac:dyDescent="0.2">
      <c r="A307" s="24"/>
      <c r="B307" s="24"/>
    </row>
    <row r="308" spans="1:2" ht="13.5" customHeight="1" x14ac:dyDescent="0.2">
      <c r="A308" s="24"/>
      <c r="B308" s="24"/>
    </row>
    <row r="309" spans="1:2" ht="13.5" customHeight="1" x14ac:dyDescent="0.2">
      <c r="A309" s="24"/>
      <c r="B309" s="24"/>
    </row>
    <row r="310" spans="1:2" ht="13.5" customHeight="1" x14ac:dyDescent="0.2">
      <c r="A310" s="24"/>
      <c r="B310" s="24"/>
    </row>
    <row r="311" spans="1:2" ht="13.5" customHeight="1" x14ac:dyDescent="0.2">
      <c r="A311" s="24"/>
      <c r="B311" s="24"/>
    </row>
    <row r="312" spans="1:2" ht="13.5" customHeight="1" x14ac:dyDescent="0.2">
      <c r="A312" s="24"/>
      <c r="B312" s="24"/>
    </row>
    <row r="313" spans="1:2" ht="13.5" customHeight="1" x14ac:dyDescent="0.2">
      <c r="A313" s="24"/>
      <c r="B313" s="24"/>
    </row>
    <row r="314" spans="1:2" ht="13.5" customHeight="1" x14ac:dyDescent="0.2">
      <c r="A314" s="24"/>
      <c r="B314" s="24"/>
    </row>
    <row r="315" spans="1:2" ht="13.5" customHeight="1" x14ac:dyDescent="0.2">
      <c r="A315" s="24"/>
      <c r="B315" s="24"/>
    </row>
    <row r="316" spans="1:2" ht="13.5" customHeight="1" x14ac:dyDescent="0.2">
      <c r="A316" s="24"/>
      <c r="B316" s="24"/>
    </row>
    <row r="317" spans="1:2" ht="13.5" customHeight="1" x14ac:dyDescent="0.2">
      <c r="A317" s="24"/>
      <c r="B317" s="24"/>
    </row>
    <row r="318" spans="1:2" ht="13.5" customHeight="1" x14ac:dyDescent="0.2">
      <c r="A318" s="24"/>
      <c r="B318" s="24"/>
    </row>
    <row r="319" spans="1:2" ht="13.5" customHeight="1" x14ac:dyDescent="0.2">
      <c r="A319" s="24"/>
      <c r="B319" s="24"/>
    </row>
    <row r="320" spans="1:2" ht="13.5" customHeight="1" x14ac:dyDescent="0.2">
      <c r="A320" s="24"/>
      <c r="B320" s="24"/>
    </row>
    <row r="321" spans="1:2" ht="13.5" customHeight="1" x14ac:dyDescent="0.2">
      <c r="A321" s="24"/>
      <c r="B321" s="24"/>
    </row>
    <row r="322" spans="1:2" ht="13.5" customHeight="1" x14ac:dyDescent="0.2">
      <c r="A322" s="24"/>
      <c r="B322" s="24"/>
    </row>
    <row r="323" spans="1:2" ht="13.5" customHeight="1" x14ac:dyDescent="0.2">
      <c r="A323" s="24"/>
      <c r="B323" s="24"/>
    </row>
    <row r="324" spans="1:2" ht="13.5" customHeight="1" x14ac:dyDescent="0.2">
      <c r="A324" s="24"/>
      <c r="B324" s="24"/>
    </row>
    <row r="325" spans="1:2" ht="13.5" customHeight="1" x14ac:dyDescent="0.2">
      <c r="A325" s="24"/>
      <c r="B325" s="24"/>
    </row>
    <row r="326" spans="1:2" ht="13.5" customHeight="1" x14ac:dyDescent="0.2">
      <c r="A326" s="24"/>
      <c r="B326" s="24"/>
    </row>
    <row r="327" spans="1:2" ht="13.5" customHeight="1" x14ac:dyDescent="0.2">
      <c r="A327" s="24"/>
      <c r="B327" s="24"/>
    </row>
    <row r="328" spans="1:2" ht="13.5" customHeight="1" x14ac:dyDescent="0.2">
      <c r="A328" s="24"/>
      <c r="B328" s="24"/>
    </row>
    <row r="329" spans="1:2" ht="13.5" customHeight="1" x14ac:dyDescent="0.2">
      <c r="A329" s="24"/>
      <c r="B329" s="24"/>
    </row>
    <row r="330" spans="1:2" ht="13.5" customHeight="1" x14ac:dyDescent="0.2">
      <c r="A330" s="24"/>
      <c r="B330" s="24"/>
    </row>
    <row r="331" spans="1:2" ht="13.5" customHeight="1" x14ac:dyDescent="0.2">
      <c r="A331" s="24"/>
      <c r="B331" s="24"/>
    </row>
    <row r="332" spans="1:2" ht="13.5" customHeight="1" x14ac:dyDescent="0.2">
      <c r="A332" s="24"/>
      <c r="B332" s="24"/>
    </row>
    <row r="333" spans="1:2" ht="13.5" customHeight="1" x14ac:dyDescent="0.2">
      <c r="A333" s="24"/>
      <c r="B333" s="24"/>
    </row>
    <row r="334" spans="1:2" ht="13.5" customHeight="1" x14ac:dyDescent="0.2">
      <c r="A334" s="24"/>
      <c r="B334" s="24"/>
    </row>
    <row r="335" spans="1:2" ht="13.5" customHeight="1" x14ac:dyDescent="0.2">
      <c r="A335" s="24"/>
      <c r="B335" s="24"/>
    </row>
    <row r="336" spans="1:2" ht="13.5" customHeight="1" x14ac:dyDescent="0.2">
      <c r="A336" s="24"/>
      <c r="B336" s="24"/>
    </row>
    <row r="337" spans="1:2" ht="13.5" customHeight="1" x14ac:dyDescent="0.2">
      <c r="A337" s="24"/>
      <c r="B337" s="24"/>
    </row>
    <row r="338" spans="1:2" ht="13.5" customHeight="1" x14ac:dyDescent="0.2">
      <c r="A338" s="24"/>
      <c r="B338" s="24"/>
    </row>
    <row r="339" spans="1:2" ht="13.5" customHeight="1" x14ac:dyDescent="0.2">
      <c r="A339" s="24"/>
      <c r="B339" s="24"/>
    </row>
    <row r="340" spans="1:2" ht="13.5" customHeight="1" x14ac:dyDescent="0.2">
      <c r="A340" s="24"/>
      <c r="B340" s="24"/>
    </row>
    <row r="341" spans="1:2" ht="13.5" customHeight="1" x14ac:dyDescent="0.2">
      <c r="A341" s="24"/>
      <c r="B341" s="24"/>
    </row>
    <row r="342" spans="1:2" ht="13.5" customHeight="1" x14ac:dyDescent="0.2">
      <c r="A342" s="24"/>
      <c r="B342" s="24"/>
    </row>
    <row r="343" spans="1:2" ht="13.5" customHeight="1" x14ac:dyDescent="0.2">
      <c r="A343" s="24"/>
      <c r="B343" s="24"/>
    </row>
    <row r="344" spans="1:2" ht="13.5" customHeight="1" x14ac:dyDescent="0.2">
      <c r="A344" s="24"/>
      <c r="B344" s="24"/>
    </row>
    <row r="345" spans="1:2" ht="13.5" customHeight="1" x14ac:dyDescent="0.2">
      <c r="A345" s="24"/>
      <c r="B345" s="24"/>
    </row>
    <row r="346" spans="1:2" ht="13.5" customHeight="1" x14ac:dyDescent="0.2">
      <c r="A346" s="24"/>
      <c r="B346" s="24"/>
    </row>
    <row r="347" spans="1:2" ht="13.5" customHeight="1" x14ac:dyDescent="0.2">
      <c r="A347" s="24"/>
      <c r="B347" s="24"/>
    </row>
    <row r="348" spans="1:2" ht="13.5" customHeight="1" x14ac:dyDescent="0.2">
      <c r="A348" s="24"/>
      <c r="B348" s="24"/>
    </row>
    <row r="349" spans="1:2" ht="13.5" customHeight="1" x14ac:dyDescent="0.2">
      <c r="A349" s="24"/>
      <c r="B349" s="24"/>
    </row>
    <row r="350" spans="1:2" ht="13.5" customHeight="1" x14ac:dyDescent="0.2">
      <c r="A350" s="24"/>
      <c r="B350" s="24"/>
    </row>
    <row r="351" spans="1:2" ht="13.5" customHeight="1" x14ac:dyDescent="0.2">
      <c r="A351" s="24"/>
      <c r="B351" s="24"/>
    </row>
    <row r="352" spans="1:2" ht="13.5" customHeight="1" x14ac:dyDescent="0.2">
      <c r="A352" s="24"/>
      <c r="B352" s="24"/>
    </row>
    <row r="353" spans="1:2" ht="13.5" customHeight="1" x14ac:dyDescent="0.2">
      <c r="A353" s="24"/>
      <c r="B353" s="24"/>
    </row>
    <row r="354" spans="1:2" ht="13.5" customHeight="1" x14ac:dyDescent="0.2">
      <c r="A354" s="24"/>
      <c r="B354" s="24"/>
    </row>
    <row r="355" spans="1:2" ht="13.5" customHeight="1" x14ac:dyDescent="0.2">
      <c r="A355" s="24"/>
      <c r="B355" s="24"/>
    </row>
    <row r="356" spans="1:2" ht="13.5" customHeight="1" x14ac:dyDescent="0.2">
      <c r="A356" s="24"/>
      <c r="B356" s="24"/>
    </row>
    <row r="357" spans="1:2" ht="13.5" customHeight="1" x14ac:dyDescent="0.2">
      <c r="A357" s="24"/>
      <c r="B357" s="24"/>
    </row>
    <row r="358" spans="1:2" ht="13.5" customHeight="1" x14ac:dyDescent="0.2">
      <c r="A358" s="24"/>
      <c r="B358" s="24"/>
    </row>
    <row r="359" spans="1:2" ht="13.5" customHeight="1" x14ac:dyDescent="0.2">
      <c r="A359" s="24"/>
      <c r="B359" s="24"/>
    </row>
    <row r="360" spans="1:2" ht="13.5" customHeight="1" x14ac:dyDescent="0.2">
      <c r="A360" s="24"/>
      <c r="B360" s="24"/>
    </row>
    <row r="361" spans="1:2" ht="13.5" customHeight="1" x14ac:dyDescent="0.2">
      <c r="A361" s="24"/>
      <c r="B361" s="24"/>
    </row>
    <row r="362" spans="1:2" ht="13.5" customHeight="1" x14ac:dyDescent="0.2">
      <c r="A362" s="24"/>
      <c r="B362" s="24"/>
    </row>
    <row r="363" spans="1:2" ht="13.5" customHeight="1" x14ac:dyDescent="0.2">
      <c r="A363" s="24"/>
      <c r="B363" s="24"/>
    </row>
    <row r="364" spans="1:2" ht="13.5" customHeight="1" x14ac:dyDescent="0.2">
      <c r="A364" s="24"/>
      <c r="B364" s="24"/>
    </row>
    <row r="365" spans="1:2" ht="13.5" customHeight="1" x14ac:dyDescent="0.2">
      <c r="A365" s="24"/>
      <c r="B365" s="24"/>
    </row>
    <row r="366" spans="1:2" ht="13.5" customHeight="1" x14ac:dyDescent="0.2">
      <c r="A366" s="24"/>
      <c r="B366" s="24"/>
    </row>
    <row r="367" spans="1:2" ht="13.5" customHeight="1" x14ac:dyDescent="0.2">
      <c r="A367" s="24"/>
      <c r="B367" s="24"/>
    </row>
    <row r="368" spans="1:2" ht="13.5" customHeight="1" x14ac:dyDescent="0.2">
      <c r="A368" s="24"/>
      <c r="B368" s="24"/>
    </row>
    <row r="369" spans="1:2" ht="13.5" customHeight="1" x14ac:dyDescent="0.2">
      <c r="A369" s="24"/>
      <c r="B369" s="24"/>
    </row>
    <row r="370" spans="1:2" ht="13.5" customHeight="1" x14ac:dyDescent="0.2">
      <c r="A370" s="24"/>
      <c r="B370" s="24"/>
    </row>
    <row r="371" spans="1:2" ht="13.5" customHeight="1" x14ac:dyDescent="0.2">
      <c r="A371" s="24"/>
      <c r="B371" s="24"/>
    </row>
    <row r="372" spans="1:2" ht="13.5" customHeight="1" x14ac:dyDescent="0.2">
      <c r="A372" s="24"/>
      <c r="B372" s="24"/>
    </row>
    <row r="373" spans="1:2" ht="13.5" customHeight="1" x14ac:dyDescent="0.2">
      <c r="A373" s="24"/>
      <c r="B373" s="24"/>
    </row>
    <row r="374" spans="1:2" ht="13.5" customHeight="1" x14ac:dyDescent="0.2">
      <c r="A374" s="24"/>
      <c r="B374" s="24"/>
    </row>
    <row r="375" spans="1:2" ht="13.5" customHeight="1" x14ac:dyDescent="0.2">
      <c r="A375" s="24"/>
      <c r="B375" s="24"/>
    </row>
    <row r="376" spans="1:2" ht="13.5" customHeight="1" x14ac:dyDescent="0.2">
      <c r="A376" s="24"/>
      <c r="B376" s="24"/>
    </row>
    <row r="377" spans="1:2" ht="13.5" customHeight="1" x14ac:dyDescent="0.2">
      <c r="A377" s="24"/>
      <c r="B377" s="24"/>
    </row>
    <row r="378" spans="1:2" ht="13.5" customHeight="1" x14ac:dyDescent="0.2">
      <c r="A378" s="24"/>
      <c r="B378" s="24"/>
    </row>
    <row r="379" spans="1:2" ht="13.5" customHeight="1" x14ac:dyDescent="0.2">
      <c r="A379" s="24"/>
      <c r="B379" s="24"/>
    </row>
    <row r="380" spans="1:2" ht="13.5" customHeight="1" x14ac:dyDescent="0.2">
      <c r="A380" s="24"/>
      <c r="B380" s="24"/>
    </row>
    <row r="381" spans="1:2" ht="13.5" customHeight="1" x14ac:dyDescent="0.2">
      <c r="A381" s="24"/>
      <c r="B381" s="24"/>
    </row>
    <row r="382" spans="1:2" ht="13.5" customHeight="1" x14ac:dyDescent="0.2">
      <c r="A382" s="24"/>
      <c r="B382" s="24"/>
    </row>
    <row r="383" spans="1:2" ht="13.5" customHeight="1" x14ac:dyDescent="0.2">
      <c r="A383" s="24"/>
      <c r="B383" s="24"/>
    </row>
    <row r="384" spans="1:2" ht="13.5" customHeight="1" x14ac:dyDescent="0.2">
      <c r="A384" s="24"/>
      <c r="B384" s="24"/>
    </row>
    <row r="385" spans="1:2" ht="13.5" customHeight="1" x14ac:dyDescent="0.2">
      <c r="A385" s="24"/>
      <c r="B385" s="24"/>
    </row>
    <row r="386" spans="1:2" ht="13.5" customHeight="1" x14ac:dyDescent="0.2">
      <c r="A386" s="24"/>
      <c r="B386" s="24"/>
    </row>
    <row r="387" spans="1:2" ht="13.5" customHeight="1" x14ac:dyDescent="0.2">
      <c r="A387" s="24"/>
      <c r="B387" s="24"/>
    </row>
    <row r="388" spans="1:2" ht="13.5" customHeight="1" x14ac:dyDescent="0.2">
      <c r="A388" s="24"/>
      <c r="B388" s="24"/>
    </row>
    <row r="389" spans="1:2" ht="13.5" customHeight="1" x14ac:dyDescent="0.2">
      <c r="A389" s="24"/>
      <c r="B389" s="24"/>
    </row>
    <row r="390" spans="1:2" ht="13.5" customHeight="1" x14ac:dyDescent="0.2">
      <c r="A390" s="24"/>
      <c r="B390" s="24"/>
    </row>
    <row r="391" spans="1:2" ht="13.5" customHeight="1" x14ac:dyDescent="0.2">
      <c r="A391" s="24"/>
      <c r="B391" s="24"/>
    </row>
    <row r="392" spans="1:2" ht="13.5" customHeight="1" x14ac:dyDescent="0.2">
      <c r="A392" s="24"/>
      <c r="B392" s="24"/>
    </row>
    <row r="393" spans="1:2" ht="13.5" customHeight="1" x14ac:dyDescent="0.2">
      <c r="A393" s="24"/>
      <c r="B393" s="24"/>
    </row>
    <row r="394" spans="1:2" ht="13.5" customHeight="1" x14ac:dyDescent="0.2">
      <c r="A394" s="24"/>
      <c r="B394" s="24"/>
    </row>
    <row r="395" spans="1:2" ht="13.5" customHeight="1" x14ac:dyDescent="0.2">
      <c r="A395" s="24"/>
      <c r="B395" s="24"/>
    </row>
    <row r="396" spans="1:2" ht="13.5" customHeight="1" x14ac:dyDescent="0.2">
      <c r="A396" s="24"/>
      <c r="B396" s="24"/>
    </row>
    <row r="397" spans="1:2" ht="13.5" customHeight="1" x14ac:dyDescent="0.2">
      <c r="A397" s="24"/>
      <c r="B397" s="24"/>
    </row>
    <row r="398" spans="1:2" ht="13.5" customHeight="1" x14ac:dyDescent="0.2">
      <c r="A398" s="24"/>
      <c r="B398" s="24"/>
    </row>
    <row r="399" spans="1:2" ht="13.5" customHeight="1" x14ac:dyDescent="0.2">
      <c r="A399" s="24"/>
      <c r="B399" s="24"/>
    </row>
    <row r="400" spans="1:2" ht="13.5" customHeight="1" x14ac:dyDescent="0.2">
      <c r="A400" s="24"/>
      <c r="B400" s="24"/>
    </row>
    <row r="401" spans="1:2" ht="13.5" customHeight="1" x14ac:dyDescent="0.2">
      <c r="A401" s="24"/>
      <c r="B401" s="24"/>
    </row>
    <row r="402" spans="1:2" ht="13.5" customHeight="1" x14ac:dyDescent="0.2">
      <c r="A402" s="24"/>
      <c r="B402" s="24"/>
    </row>
    <row r="403" spans="1:2" ht="13.5" customHeight="1" x14ac:dyDescent="0.2">
      <c r="A403" s="24"/>
      <c r="B403" s="24"/>
    </row>
    <row r="404" spans="1:2" ht="13.5" customHeight="1" x14ac:dyDescent="0.2">
      <c r="A404" s="24"/>
      <c r="B404" s="24"/>
    </row>
    <row r="405" spans="1:2" ht="13.5" customHeight="1" x14ac:dyDescent="0.2">
      <c r="A405" s="24"/>
      <c r="B405" s="24"/>
    </row>
    <row r="406" spans="1:2" ht="13.5" customHeight="1" x14ac:dyDescent="0.2">
      <c r="A406" s="24"/>
      <c r="B406" s="24"/>
    </row>
    <row r="407" spans="1:2" ht="13.5" customHeight="1" x14ac:dyDescent="0.2">
      <c r="A407" s="24"/>
      <c r="B407" s="24"/>
    </row>
    <row r="408" spans="1:2" ht="13.5" customHeight="1" x14ac:dyDescent="0.2">
      <c r="A408" s="24"/>
      <c r="B408" s="24"/>
    </row>
    <row r="409" spans="1:2" ht="13.5" customHeight="1" x14ac:dyDescent="0.2">
      <c r="A409" s="24"/>
      <c r="B409" s="24"/>
    </row>
    <row r="410" spans="1:2" ht="13.5" customHeight="1" x14ac:dyDescent="0.2">
      <c r="A410" s="24"/>
      <c r="B410" s="24"/>
    </row>
    <row r="411" spans="1:2" ht="13.5" customHeight="1" x14ac:dyDescent="0.2">
      <c r="A411" s="24"/>
      <c r="B411" s="24"/>
    </row>
    <row r="412" spans="1:2" ht="13.5" customHeight="1" x14ac:dyDescent="0.2">
      <c r="A412" s="24"/>
      <c r="B412" s="24"/>
    </row>
    <row r="413" spans="1:2" ht="13.5" customHeight="1" x14ac:dyDescent="0.2">
      <c r="A413" s="24"/>
      <c r="B413" s="24"/>
    </row>
    <row r="414" spans="1:2" ht="13.5" customHeight="1" x14ac:dyDescent="0.2">
      <c r="A414" s="24"/>
      <c r="B414" s="24"/>
    </row>
    <row r="415" spans="1:2" ht="13.5" customHeight="1" x14ac:dyDescent="0.2">
      <c r="A415" s="24"/>
      <c r="B415" s="24"/>
    </row>
    <row r="416" spans="1:2" ht="13.5" customHeight="1" x14ac:dyDescent="0.2">
      <c r="A416" s="24"/>
      <c r="B416" s="24"/>
    </row>
    <row r="417" spans="1:2" ht="13.5" customHeight="1" x14ac:dyDescent="0.2">
      <c r="A417" s="24"/>
      <c r="B417" s="24"/>
    </row>
    <row r="418" spans="1:2" ht="13.5" customHeight="1" x14ac:dyDescent="0.2">
      <c r="A418" s="24"/>
      <c r="B418" s="24"/>
    </row>
    <row r="419" spans="1:2" ht="13.5" customHeight="1" x14ac:dyDescent="0.2">
      <c r="A419" s="24"/>
      <c r="B419" s="24"/>
    </row>
    <row r="420" spans="1:2" ht="13.5" customHeight="1" x14ac:dyDescent="0.2">
      <c r="A420" s="24"/>
      <c r="B420" s="24"/>
    </row>
    <row r="421" spans="1:2" ht="13.5" customHeight="1" x14ac:dyDescent="0.2">
      <c r="A421" s="24"/>
      <c r="B421" s="24"/>
    </row>
    <row r="422" spans="1:2" ht="13.5" customHeight="1" x14ac:dyDescent="0.2">
      <c r="A422" s="24"/>
      <c r="B422" s="24"/>
    </row>
    <row r="423" spans="1:2" ht="13.5" customHeight="1" x14ac:dyDescent="0.2">
      <c r="A423" s="24"/>
      <c r="B423" s="24"/>
    </row>
    <row r="424" spans="1:2" ht="13.5" customHeight="1" x14ac:dyDescent="0.2">
      <c r="A424" s="24"/>
      <c r="B424" s="24"/>
    </row>
    <row r="425" spans="1:2" ht="13.5" customHeight="1" x14ac:dyDescent="0.2">
      <c r="A425" s="24"/>
      <c r="B425" s="24"/>
    </row>
    <row r="426" spans="1:2" ht="13.5" customHeight="1" x14ac:dyDescent="0.2">
      <c r="A426" s="24"/>
      <c r="B426" s="24"/>
    </row>
    <row r="427" spans="1:2" ht="13.5" customHeight="1" x14ac:dyDescent="0.2">
      <c r="A427" s="24"/>
      <c r="B427" s="24"/>
    </row>
    <row r="428" spans="1:2" ht="13.5" customHeight="1" x14ac:dyDescent="0.2">
      <c r="A428" s="24"/>
      <c r="B428" s="24"/>
    </row>
    <row r="429" spans="1:2" ht="13.5" customHeight="1" x14ac:dyDescent="0.2">
      <c r="A429" s="24"/>
      <c r="B429" s="24"/>
    </row>
    <row r="430" spans="1:2" ht="13.5" customHeight="1" x14ac:dyDescent="0.2">
      <c r="A430" s="24"/>
      <c r="B430" s="24"/>
    </row>
    <row r="431" spans="1:2" ht="13.5" customHeight="1" x14ac:dyDescent="0.2">
      <c r="A431" s="24"/>
      <c r="B431" s="24"/>
    </row>
    <row r="432" spans="1:2" ht="13.5" customHeight="1" x14ac:dyDescent="0.2">
      <c r="A432" s="24"/>
      <c r="B432" s="24"/>
    </row>
    <row r="433" spans="1:2" ht="13.5" customHeight="1" x14ac:dyDescent="0.2">
      <c r="A433" s="24"/>
      <c r="B433" s="24"/>
    </row>
    <row r="434" spans="1:2" ht="13.5" customHeight="1" x14ac:dyDescent="0.2">
      <c r="A434" s="24"/>
      <c r="B434" s="24"/>
    </row>
    <row r="435" spans="1:2" ht="13.5" customHeight="1" x14ac:dyDescent="0.2">
      <c r="A435" s="24"/>
      <c r="B435" s="24"/>
    </row>
    <row r="436" spans="1:2" ht="13.5" customHeight="1" x14ac:dyDescent="0.2">
      <c r="A436" s="24"/>
      <c r="B436" s="24"/>
    </row>
    <row r="437" spans="1:2" ht="13.5" customHeight="1" x14ac:dyDescent="0.2">
      <c r="A437" s="24"/>
      <c r="B437" s="24"/>
    </row>
    <row r="438" spans="1:2" ht="13.5" customHeight="1" x14ac:dyDescent="0.2">
      <c r="A438" s="24"/>
      <c r="B438" s="24"/>
    </row>
    <row r="439" spans="1:2" ht="13.5" customHeight="1" x14ac:dyDescent="0.2">
      <c r="A439" s="24"/>
      <c r="B439" s="24"/>
    </row>
    <row r="440" spans="1:2" ht="13.5" customHeight="1" x14ac:dyDescent="0.2">
      <c r="A440" s="24"/>
      <c r="B440" s="24"/>
    </row>
    <row r="441" spans="1:2" ht="13.5" customHeight="1" x14ac:dyDescent="0.2">
      <c r="A441" s="24"/>
      <c r="B441" s="24"/>
    </row>
    <row r="442" spans="1:2" ht="13.5" customHeight="1" x14ac:dyDescent="0.2">
      <c r="A442" s="24"/>
      <c r="B442" s="24"/>
    </row>
    <row r="443" spans="1:2" ht="13.5" customHeight="1" x14ac:dyDescent="0.2">
      <c r="A443" s="24"/>
      <c r="B443" s="24"/>
    </row>
    <row r="444" spans="1:2" ht="13.5" customHeight="1" x14ac:dyDescent="0.2">
      <c r="A444" s="24"/>
      <c r="B444" s="24"/>
    </row>
    <row r="445" spans="1:2" ht="13.5" customHeight="1" x14ac:dyDescent="0.2">
      <c r="A445" s="24"/>
      <c r="B445" s="24"/>
    </row>
    <row r="446" spans="1:2" ht="13.5" customHeight="1" x14ac:dyDescent="0.2">
      <c r="A446" s="24"/>
      <c r="B446" s="24"/>
    </row>
    <row r="447" spans="1:2" ht="13.5" customHeight="1" x14ac:dyDescent="0.2">
      <c r="A447" s="24"/>
      <c r="B447" s="24"/>
    </row>
    <row r="448" spans="1:2" ht="13.5" customHeight="1" x14ac:dyDescent="0.2">
      <c r="A448" s="24"/>
      <c r="B448" s="24"/>
    </row>
    <row r="449" spans="1:2" ht="13.5" customHeight="1" x14ac:dyDescent="0.2">
      <c r="A449" s="24"/>
      <c r="B449" s="24"/>
    </row>
    <row r="450" spans="1:2" ht="13.5" customHeight="1" x14ac:dyDescent="0.2">
      <c r="A450" s="24"/>
      <c r="B450" s="24"/>
    </row>
    <row r="451" spans="1:2" ht="13.5" customHeight="1" x14ac:dyDescent="0.2">
      <c r="A451" s="24"/>
      <c r="B451" s="24"/>
    </row>
    <row r="452" spans="1:2" ht="13.5" customHeight="1" x14ac:dyDescent="0.2">
      <c r="A452" s="24"/>
      <c r="B452" s="24"/>
    </row>
    <row r="453" spans="1:2" ht="13.5" customHeight="1" x14ac:dyDescent="0.2">
      <c r="A453" s="24"/>
      <c r="B453" s="24"/>
    </row>
    <row r="454" spans="1:2" ht="13.5" customHeight="1" x14ac:dyDescent="0.2">
      <c r="A454" s="24"/>
      <c r="B454" s="24"/>
    </row>
    <row r="455" spans="1:2" ht="13.5" customHeight="1" x14ac:dyDescent="0.2">
      <c r="A455" s="24"/>
      <c r="B455" s="24"/>
    </row>
    <row r="456" spans="1:2" ht="13.5" customHeight="1" x14ac:dyDescent="0.2">
      <c r="A456" s="24"/>
      <c r="B456" s="24"/>
    </row>
    <row r="457" spans="1:2" ht="13.5" customHeight="1" x14ac:dyDescent="0.2">
      <c r="A457" s="24"/>
      <c r="B457" s="24"/>
    </row>
    <row r="458" spans="1:2" ht="13.5" customHeight="1" x14ac:dyDescent="0.2">
      <c r="A458" s="24"/>
      <c r="B458" s="24"/>
    </row>
    <row r="459" spans="1:2" ht="13.5" customHeight="1" x14ac:dyDescent="0.2">
      <c r="A459" s="24"/>
      <c r="B459" s="24"/>
    </row>
    <row r="460" spans="1:2" ht="13.5" customHeight="1" x14ac:dyDescent="0.2">
      <c r="A460" s="24"/>
      <c r="B460" s="24"/>
    </row>
    <row r="461" spans="1:2" ht="13.5" customHeight="1" x14ac:dyDescent="0.2">
      <c r="A461" s="24"/>
      <c r="B461" s="24"/>
    </row>
    <row r="462" spans="1:2" ht="13.5" customHeight="1" x14ac:dyDescent="0.2">
      <c r="A462" s="24"/>
      <c r="B462" s="24"/>
    </row>
    <row r="463" spans="1:2" ht="13.5" customHeight="1" x14ac:dyDescent="0.2">
      <c r="A463" s="24"/>
      <c r="B463" s="24"/>
    </row>
    <row r="464" spans="1:2" ht="13.5" customHeight="1" x14ac:dyDescent="0.2">
      <c r="A464" s="24"/>
      <c r="B464" s="24"/>
    </row>
    <row r="465" spans="1:2" ht="13.5" customHeight="1" x14ac:dyDescent="0.2">
      <c r="A465" s="24"/>
      <c r="B465" s="24"/>
    </row>
    <row r="466" spans="1:2" ht="13.5" customHeight="1" x14ac:dyDescent="0.2">
      <c r="A466" s="24"/>
      <c r="B466" s="24"/>
    </row>
    <row r="467" spans="1:2" ht="13.5" customHeight="1" x14ac:dyDescent="0.2">
      <c r="A467" s="24"/>
      <c r="B467" s="24"/>
    </row>
    <row r="468" spans="1:2" ht="13.5" customHeight="1" x14ac:dyDescent="0.2">
      <c r="A468" s="24"/>
      <c r="B468" s="24"/>
    </row>
    <row r="469" spans="1:2" ht="13.5" customHeight="1" x14ac:dyDescent="0.2">
      <c r="A469" s="24"/>
      <c r="B469" s="24"/>
    </row>
    <row r="470" spans="1:2" ht="13.5" customHeight="1" x14ac:dyDescent="0.2">
      <c r="A470" s="24"/>
      <c r="B470" s="24"/>
    </row>
    <row r="471" spans="1:2" ht="13.5" customHeight="1" x14ac:dyDescent="0.2">
      <c r="A471" s="24"/>
      <c r="B471" s="24"/>
    </row>
    <row r="472" spans="1:2" ht="13.5" customHeight="1" x14ac:dyDescent="0.2">
      <c r="A472" s="24"/>
      <c r="B472" s="24"/>
    </row>
    <row r="473" spans="1:2" ht="13.5" customHeight="1" x14ac:dyDescent="0.2">
      <c r="A473" s="24"/>
      <c r="B473" s="24"/>
    </row>
    <row r="474" spans="1:2" ht="13.5" customHeight="1" x14ac:dyDescent="0.2">
      <c r="A474" s="24"/>
      <c r="B474" s="24"/>
    </row>
    <row r="475" spans="1:2" ht="13.5" customHeight="1" x14ac:dyDescent="0.2">
      <c r="A475" s="24"/>
      <c r="B475" s="24"/>
    </row>
    <row r="476" spans="1:2" ht="13.5" customHeight="1" x14ac:dyDescent="0.2">
      <c r="A476" s="24"/>
      <c r="B476" s="24"/>
    </row>
    <row r="477" spans="1:2" ht="13.5" customHeight="1" x14ac:dyDescent="0.2">
      <c r="A477" s="24"/>
      <c r="B477" s="24"/>
    </row>
    <row r="478" spans="1:2" ht="13.5" customHeight="1" x14ac:dyDescent="0.2">
      <c r="A478" s="24"/>
      <c r="B478" s="24"/>
    </row>
    <row r="479" spans="1:2" ht="13.5" customHeight="1" x14ac:dyDescent="0.2">
      <c r="A479" s="24"/>
      <c r="B479" s="24"/>
    </row>
    <row r="480" spans="1:2" ht="13.5" customHeight="1" x14ac:dyDescent="0.2">
      <c r="A480" s="24"/>
      <c r="B480" s="24"/>
    </row>
    <row r="481" spans="1:2" ht="13.5" customHeight="1" x14ac:dyDescent="0.2">
      <c r="A481" s="24"/>
      <c r="B481" s="24"/>
    </row>
    <row r="482" spans="1:2" ht="13.5" customHeight="1" x14ac:dyDescent="0.2">
      <c r="A482" s="24"/>
      <c r="B482" s="24"/>
    </row>
    <row r="483" spans="1:2" ht="13.5" customHeight="1" x14ac:dyDescent="0.2">
      <c r="A483" s="24"/>
      <c r="B483" s="24"/>
    </row>
    <row r="484" spans="1:2" ht="13.5" customHeight="1" x14ac:dyDescent="0.2">
      <c r="A484" s="24"/>
      <c r="B484" s="24"/>
    </row>
    <row r="485" spans="1:2" ht="13.5" customHeight="1" x14ac:dyDescent="0.2">
      <c r="A485" s="24"/>
      <c r="B485" s="24"/>
    </row>
    <row r="486" spans="1:2" ht="13.5" customHeight="1" x14ac:dyDescent="0.2">
      <c r="A486" s="24"/>
      <c r="B486" s="24"/>
    </row>
    <row r="487" spans="1:2" ht="13.5" customHeight="1" x14ac:dyDescent="0.2">
      <c r="A487" s="24"/>
      <c r="B487" s="24"/>
    </row>
    <row r="488" spans="1:2" ht="13.5" customHeight="1" x14ac:dyDescent="0.2">
      <c r="A488" s="24"/>
      <c r="B488" s="24"/>
    </row>
    <row r="489" spans="1:2" ht="13.5" customHeight="1" x14ac:dyDescent="0.2">
      <c r="A489" s="24"/>
      <c r="B489" s="24"/>
    </row>
    <row r="490" spans="1:2" ht="13.5" customHeight="1" x14ac:dyDescent="0.2">
      <c r="A490" s="24"/>
      <c r="B490" s="24"/>
    </row>
    <row r="491" spans="1:2" ht="13.5" customHeight="1" x14ac:dyDescent="0.2">
      <c r="A491" s="24"/>
      <c r="B491" s="24"/>
    </row>
    <row r="492" spans="1:2" ht="13.5" customHeight="1" x14ac:dyDescent="0.2">
      <c r="A492" s="24"/>
      <c r="B492" s="24"/>
    </row>
    <row r="493" spans="1:2" ht="13.5" customHeight="1" x14ac:dyDescent="0.2">
      <c r="A493" s="24"/>
      <c r="B493" s="24"/>
    </row>
    <row r="494" spans="1:2" ht="13.5" customHeight="1" x14ac:dyDescent="0.2">
      <c r="A494" s="24"/>
      <c r="B494" s="24"/>
    </row>
    <row r="495" spans="1:2" ht="13.5" customHeight="1" x14ac:dyDescent="0.2">
      <c r="A495" s="24"/>
      <c r="B495" s="24"/>
    </row>
    <row r="496" spans="1:2" ht="13.5" customHeight="1" x14ac:dyDescent="0.2">
      <c r="A496" s="24"/>
      <c r="B496" s="24"/>
    </row>
    <row r="497" spans="1:2" ht="13.5" customHeight="1" x14ac:dyDescent="0.2">
      <c r="A497" s="24"/>
      <c r="B497" s="24"/>
    </row>
    <row r="498" spans="1:2" ht="13.5" customHeight="1" x14ac:dyDescent="0.2">
      <c r="A498" s="24"/>
      <c r="B498" s="24"/>
    </row>
    <row r="499" spans="1:2" ht="13.5" customHeight="1" x14ac:dyDescent="0.2">
      <c r="A499" s="24"/>
      <c r="B499" s="24"/>
    </row>
    <row r="500" spans="1:2" ht="13.5" customHeight="1" x14ac:dyDescent="0.2">
      <c r="A500" s="24"/>
      <c r="B500" s="24"/>
    </row>
    <row r="501" spans="1:2" ht="13.5" customHeight="1" x14ac:dyDescent="0.2">
      <c r="A501" s="24"/>
      <c r="B501" s="24"/>
    </row>
    <row r="502" spans="1:2" ht="13.5" customHeight="1" x14ac:dyDescent="0.2">
      <c r="A502" s="24"/>
      <c r="B502" s="24"/>
    </row>
    <row r="503" spans="1:2" ht="13.5" customHeight="1" x14ac:dyDescent="0.2">
      <c r="A503" s="24"/>
      <c r="B503" s="24"/>
    </row>
    <row r="504" spans="1:2" ht="13.5" customHeight="1" x14ac:dyDescent="0.2">
      <c r="A504" s="24"/>
      <c r="B504" s="24"/>
    </row>
    <row r="505" spans="1:2" ht="13.5" customHeight="1" x14ac:dyDescent="0.2">
      <c r="A505" s="24"/>
      <c r="B505" s="24"/>
    </row>
    <row r="506" spans="1:2" ht="13.5" customHeight="1" x14ac:dyDescent="0.2">
      <c r="A506" s="24"/>
      <c r="B506" s="24"/>
    </row>
    <row r="507" spans="1:2" ht="13.5" customHeight="1" x14ac:dyDescent="0.2">
      <c r="A507" s="24"/>
      <c r="B507" s="24"/>
    </row>
    <row r="508" spans="1:2" ht="13.5" customHeight="1" x14ac:dyDescent="0.2">
      <c r="A508" s="24"/>
      <c r="B508" s="24"/>
    </row>
    <row r="509" spans="1:2" ht="13.5" customHeight="1" x14ac:dyDescent="0.2">
      <c r="A509" s="24"/>
      <c r="B509" s="24"/>
    </row>
    <row r="510" spans="1:2" ht="13.5" customHeight="1" x14ac:dyDescent="0.2">
      <c r="A510" s="24"/>
      <c r="B510" s="24"/>
    </row>
    <row r="511" spans="1:2" ht="13.5" customHeight="1" x14ac:dyDescent="0.2">
      <c r="A511" s="24"/>
      <c r="B511" s="24"/>
    </row>
    <row r="512" spans="1:2" ht="13.5" customHeight="1" x14ac:dyDescent="0.2">
      <c r="A512" s="24"/>
      <c r="B512" s="24"/>
    </row>
    <row r="513" spans="1:2" ht="13.5" customHeight="1" x14ac:dyDescent="0.2">
      <c r="A513" s="24"/>
      <c r="B513" s="24"/>
    </row>
    <row r="514" spans="1:2" ht="13.5" customHeight="1" x14ac:dyDescent="0.2">
      <c r="A514" s="24"/>
      <c r="B514" s="24"/>
    </row>
    <row r="515" spans="1:2" ht="13.5" customHeight="1" x14ac:dyDescent="0.2">
      <c r="A515" s="24"/>
      <c r="B515" s="24"/>
    </row>
    <row r="516" spans="1:2" ht="13.5" customHeight="1" x14ac:dyDescent="0.2">
      <c r="A516" s="24"/>
      <c r="B516" s="24"/>
    </row>
    <row r="517" spans="1:2" ht="13.5" customHeight="1" x14ac:dyDescent="0.2">
      <c r="A517" s="24"/>
      <c r="B517" s="24"/>
    </row>
    <row r="518" spans="1:2" ht="13.5" customHeight="1" x14ac:dyDescent="0.2">
      <c r="A518" s="24"/>
      <c r="B518" s="24"/>
    </row>
    <row r="519" spans="1:2" ht="13.5" customHeight="1" x14ac:dyDescent="0.2">
      <c r="A519" s="24"/>
      <c r="B519" s="24"/>
    </row>
    <row r="520" spans="1:2" ht="13.5" customHeight="1" x14ac:dyDescent="0.2">
      <c r="A520" s="24"/>
      <c r="B520" s="24"/>
    </row>
    <row r="521" spans="1:2" ht="13.5" customHeight="1" x14ac:dyDescent="0.2">
      <c r="A521" s="24"/>
      <c r="B521" s="24"/>
    </row>
    <row r="522" spans="1:2" ht="13.5" customHeight="1" x14ac:dyDescent="0.2">
      <c r="A522" s="24"/>
      <c r="B522" s="24"/>
    </row>
    <row r="523" spans="1:2" ht="13.5" customHeight="1" x14ac:dyDescent="0.2">
      <c r="A523" s="24"/>
      <c r="B523" s="24"/>
    </row>
    <row r="524" spans="1:2" ht="13.5" customHeight="1" x14ac:dyDescent="0.2">
      <c r="A524" s="24"/>
      <c r="B524" s="24"/>
    </row>
    <row r="525" spans="1:2" ht="13.5" customHeight="1" x14ac:dyDescent="0.2">
      <c r="A525" s="24"/>
      <c r="B525" s="24"/>
    </row>
    <row r="526" spans="1:2" ht="13.5" customHeight="1" x14ac:dyDescent="0.2">
      <c r="A526" s="24"/>
      <c r="B526" s="24"/>
    </row>
    <row r="527" spans="1:2" ht="13.5" customHeight="1" x14ac:dyDescent="0.2">
      <c r="A527" s="24"/>
      <c r="B527" s="24"/>
    </row>
    <row r="528" spans="1:2" ht="13.5" customHeight="1" x14ac:dyDescent="0.2">
      <c r="A528" s="24"/>
      <c r="B528" s="24"/>
    </row>
    <row r="529" spans="1:2" ht="13.5" customHeight="1" x14ac:dyDescent="0.2">
      <c r="A529" s="24"/>
      <c r="B529" s="24"/>
    </row>
    <row r="530" spans="1:2" ht="13.5" customHeight="1" x14ac:dyDescent="0.2">
      <c r="A530" s="24"/>
      <c r="B530" s="24"/>
    </row>
    <row r="531" spans="1:2" ht="13.5" customHeight="1" x14ac:dyDescent="0.2">
      <c r="A531" s="24"/>
      <c r="B531" s="24"/>
    </row>
    <row r="532" spans="1:2" ht="13.5" customHeight="1" x14ac:dyDescent="0.2">
      <c r="A532" s="24"/>
      <c r="B532" s="24"/>
    </row>
    <row r="533" spans="1:2" ht="13.5" customHeight="1" x14ac:dyDescent="0.2">
      <c r="A533" s="24"/>
      <c r="B533" s="24"/>
    </row>
    <row r="534" spans="1:2" ht="13.5" customHeight="1" x14ac:dyDescent="0.2">
      <c r="A534" s="24"/>
      <c r="B534" s="24"/>
    </row>
    <row r="535" spans="1:2" ht="13.5" customHeight="1" x14ac:dyDescent="0.2">
      <c r="A535" s="24"/>
      <c r="B535" s="24"/>
    </row>
    <row r="536" spans="1:2" ht="13.5" customHeight="1" x14ac:dyDescent="0.2">
      <c r="A536" s="24"/>
      <c r="B536" s="24"/>
    </row>
    <row r="537" spans="1:2" ht="13.5" customHeight="1" x14ac:dyDescent="0.2">
      <c r="A537" s="24"/>
      <c r="B537" s="24"/>
    </row>
    <row r="538" spans="1:2" ht="13.5" customHeight="1" x14ac:dyDescent="0.2">
      <c r="A538" s="24"/>
      <c r="B538" s="24"/>
    </row>
    <row r="539" spans="1:2" ht="13.5" customHeight="1" x14ac:dyDescent="0.2">
      <c r="A539" s="24"/>
      <c r="B539" s="24"/>
    </row>
    <row r="540" spans="1:2" ht="13.5" customHeight="1" x14ac:dyDescent="0.2">
      <c r="A540" s="24"/>
      <c r="B540" s="24"/>
    </row>
    <row r="541" spans="1:2" ht="13.5" customHeight="1" x14ac:dyDescent="0.2">
      <c r="A541" s="24"/>
      <c r="B541" s="24"/>
    </row>
    <row r="542" spans="1:2" ht="13.5" customHeight="1" x14ac:dyDescent="0.2">
      <c r="A542" s="24"/>
      <c r="B542" s="24"/>
    </row>
    <row r="543" spans="1:2" ht="13.5" customHeight="1" x14ac:dyDescent="0.2">
      <c r="A543" s="24"/>
      <c r="B543" s="24"/>
    </row>
    <row r="544" spans="1:2" ht="13.5" customHeight="1" x14ac:dyDescent="0.2">
      <c r="A544" s="24"/>
      <c r="B544" s="24"/>
    </row>
    <row r="545" spans="1:2" ht="13.5" customHeight="1" x14ac:dyDescent="0.2">
      <c r="A545" s="24"/>
      <c r="B545" s="24"/>
    </row>
    <row r="546" spans="1:2" ht="13.5" customHeight="1" x14ac:dyDescent="0.2">
      <c r="A546" s="24"/>
      <c r="B546" s="24"/>
    </row>
    <row r="547" spans="1:2" ht="13.5" customHeight="1" x14ac:dyDescent="0.2">
      <c r="A547" s="24"/>
      <c r="B547" s="24"/>
    </row>
    <row r="548" spans="1:2" ht="13.5" customHeight="1" x14ac:dyDescent="0.2">
      <c r="A548" s="24"/>
      <c r="B548" s="24"/>
    </row>
    <row r="549" spans="1:2" ht="13.5" customHeight="1" x14ac:dyDescent="0.2">
      <c r="A549" s="24"/>
      <c r="B549" s="24"/>
    </row>
    <row r="550" spans="1:2" ht="13.5" customHeight="1" x14ac:dyDescent="0.2">
      <c r="A550" s="24"/>
      <c r="B550" s="24"/>
    </row>
    <row r="551" spans="1:2" ht="13.5" customHeight="1" x14ac:dyDescent="0.2">
      <c r="A551" s="24"/>
      <c r="B551" s="24"/>
    </row>
    <row r="552" spans="1:2" ht="13.5" customHeight="1" x14ac:dyDescent="0.2">
      <c r="A552" s="24"/>
      <c r="B552" s="24"/>
    </row>
    <row r="553" spans="1:2" ht="13.5" customHeight="1" x14ac:dyDescent="0.2">
      <c r="A553" s="24"/>
      <c r="B553" s="24"/>
    </row>
    <row r="554" spans="1:2" ht="13.5" customHeight="1" x14ac:dyDescent="0.2">
      <c r="A554" s="24"/>
      <c r="B554" s="24"/>
    </row>
    <row r="555" spans="1:2" ht="13.5" customHeight="1" x14ac:dyDescent="0.2">
      <c r="A555" s="24"/>
      <c r="B555" s="24"/>
    </row>
    <row r="556" spans="1:2" ht="13.5" customHeight="1" x14ac:dyDescent="0.2">
      <c r="A556" s="24"/>
      <c r="B556" s="24"/>
    </row>
    <row r="557" spans="1:2" ht="13.5" customHeight="1" x14ac:dyDescent="0.2">
      <c r="A557" s="24"/>
      <c r="B557" s="24"/>
    </row>
    <row r="558" spans="1:2" ht="13.5" customHeight="1" x14ac:dyDescent="0.2">
      <c r="A558" s="24"/>
      <c r="B558" s="24"/>
    </row>
    <row r="559" spans="1:2" ht="13.5" customHeight="1" x14ac:dyDescent="0.2">
      <c r="A559" s="24"/>
      <c r="B559" s="24"/>
    </row>
    <row r="560" spans="1:2" ht="13.5" customHeight="1" x14ac:dyDescent="0.2">
      <c r="A560" s="24"/>
      <c r="B560" s="24"/>
    </row>
    <row r="561" spans="1:2" ht="13.5" customHeight="1" x14ac:dyDescent="0.2">
      <c r="A561" s="24"/>
      <c r="B561" s="24"/>
    </row>
    <row r="562" spans="1:2" ht="13.5" customHeight="1" x14ac:dyDescent="0.2">
      <c r="A562" s="24"/>
      <c r="B562" s="24"/>
    </row>
    <row r="563" spans="1:2" ht="13.5" customHeight="1" x14ac:dyDescent="0.2">
      <c r="A563" s="24"/>
      <c r="B563" s="24"/>
    </row>
    <row r="564" spans="1:2" ht="13.5" customHeight="1" x14ac:dyDescent="0.2">
      <c r="A564" s="24"/>
      <c r="B564" s="24"/>
    </row>
    <row r="565" spans="1:2" ht="13.5" customHeight="1" x14ac:dyDescent="0.2">
      <c r="A565" s="24"/>
      <c r="B565" s="24"/>
    </row>
    <row r="566" spans="1:2" ht="13.5" customHeight="1" x14ac:dyDescent="0.2">
      <c r="A566" s="24"/>
      <c r="B566" s="24"/>
    </row>
    <row r="567" spans="1:2" ht="13.5" customHeight="1" x14ac:dyDescent="0.2">
      <c r="A567" s="24"/>
      <c r="B567" s="24"/>
    </row>
    <row r="568" spans="1:2" ht="13.5" customHeight="1" x14ac:dyDescent="0.2">
      <c r="A568" s="24"/>
      <c r="B568" s="24"/>
    </row>
    <row r="569" spans="1:2" ht="13.5" customHeight="1" x14ac:dyDescent="0.2">
      <c r="A569" s="24"/>
      <c r="B569" s="24"/>
    </row>
    <row r="570" spans="1:2" ht="13.5" customHeight="1" x14ac:dyDescent="0.2">
      <c r="A570" s="24"/>
      <c r="B570" s="24"/>
    </row>
    <row r="571" spans="1:2" ht="13.5" customHeight="1" x14ac:dyDescent="0.2">
      <c r="A571" s="24"/>
      <c r="B571" s="24"/>
    </row>
    <row r="572" spans="1:2" ht="13.5" customHeight="1" x14ac:dyDescent="0.2">
      <c r="A572" s="24"/>
      <c r="B572" s="24"/>
    </row>
    <row r="573" spans="1:2" ht="13.5" customHeight="1" x14ac:dyDescent="0.2">
      <c r="A573" s="24"/>
      <c r="B573" s="24"/>
    </row>
    <row r="574" spans="1:2" ht="13.5" customHeight="1" x14ac:dyDescent="0.2">
      <c r="A574" s="24"/>
      <c r="B574" s="24"/>
    </row>
    <row r="575" spans="1:2" ht="13.5" customHeight="1" x14ac:dyDescent="0.2">
      <c r="A575" s="24"/>
      <c r="B575" s="24"/>
    </row>
    <row r="576" spans="1:2" ht="13.5" customHeight="1" x14ac:dyDescent="0.2">
      <c r="A576" s="24"/>
      <c r="B576" s="24"/>
    </row>
    <row r="577" spans="1:2" ht="13.5" customHeight="1" x14ac:dyDescent="0.2">
      <c r="A577" s="24"/>
      <c r="B577" s="24"/>
    </row>
    <row r="578" spans="1:2" ht="13.5" customHeight="1" x14ac:dyDescent="0.2">
      <c r="A578" s="24"/>
      <c r="B578" s="24"/>
    </row>
    <row r="579" spans="1:2" ht="13.5" customHeight="1" x14ac:dyDescent="0.2">
      <c r="A579" s="24"/>
      <c r="B579" s="24"/>
    </row>
    <row r="580" spans="1:2" ht="13.5" customHeight="1" x14ac:dyDescent="0.2">
      <c r="A580" s="24"/>
      <c r="B580" s="24"/>
    </row>
    <row r="581" spans="1:2" ht="13.5" customHeight="1" x14ac:dyDescent="0.2">
      <c r="A581" s="24"/>
      <c r="B581" s="24"/>
    </row>
    <row r="582" spans="1:2" ht="13.5" customHeight="1" x14ac:dyDescent="0.2">
      <c r="A582" s="24"/>
      <c r="B582" s="24"/>
    </row>
    <row r="583" spans="1:2" ht="13.5" customHeight="1" x14ac:dyDescent="0.2">
      <c r="A583" s="24"/>
      <c r="B583" s="24"/>
    </row>
    <row r="584" spans="1:2" ht="13.5" customHeight="1" x14ac:dyDescent="0.2">
      <c r="A584" s="24"/>
      <c r="B584" s="24"/>
    </row>
    <row r="585" spans="1:2" ht="13.5" customHeight="1" x14ac:dyDescent="0.2">
      <c r="A585" s="24"/>
      <c r="B585" s="24"/>
    </row>
    <row r="586" spans="1:2" ht="13.5" customHeight="1" x14ac:dyDescent="0.2">
      <c r="A586" s="24"/>
      <c r="B586" s="24"/>
    </row>
    <row r="587" spans="1:2" ht="13.5" customHeight="1" x14ac:dyDescent="0.2">
      <c r="A587" s="24"/>
      <c r="B587" s="24"/>
    </row>
    <row r="588" spans="1:2" ht="13.5" customHeight="1" x14ac:dyDescent="0.2">
      <c r="A588" s="24"/>
      <c r="B588" s="24"/>
    </row>
    <row r="589" spans="1:2" ht="13.5" customHeight="1" x14ac:dyDescent="0.2">
      <c r="A589" s="24"/>
      <c r="B589" s="24"/>
    </row>
    <row r="590" spans="1:2" ht="13.5" customHeight="1" x14ac:dyDescent="0.2">
      <c r="A590" s="24"/>
      <c r="B590" s="24"/>
    </row>
    <row r="591" spans="1:2" ht="13.5" customHeight="1" x14ac:dyDescent="0.2">
      <c r="A591" s="24"/>
      <c r="B591" s="24"/>
    </row>
    <row r="592" spans="1:2" ht="13.5" customHeight="1" x14ac:dyDescent="0.2">
      <c r="A592" s="24"/>
      <c r="B592" s="24"/>
    </row>
    <row r="593" spans="1:2" ht="13.5" customHeight="1" x14ac:dyDescent="0.2">
      <c r="A593" s="24"/>
      <c r="B593" s="24"/>
    </row>
    <row r="594" spans="1:2" ht="13.5" customHeight="1" x14ac:dyDescent="0.2">
      <c r="A594" s="24"/>
      <c r="B594" s="24"/>
    </row>
    <row r="595" spans="1:2" ht="13.5" customHeight="1" x14ac:dyDescent="0.2">
      <c r="A595" s="24"/>
      <c r="B595" s="24"/>
    </row>
    <row r="596" spans="1:2" ht="13.5" customHeight="1" x14ac:dyDescent="0.2">
      <c r="A596" s="24"/>
      <c r="B596" s="24"/>
    </row>
    <row r="597" spans="1:2" ht="13.5" customHeight="1" x14ac:dyDescent="0.2">
      <c r="A597" s="24"/>
      <c r="B597" s="24"/>
    </row>
    <row r="598" spans="1:2" ht="13.5" customHeight="1" x14ac:dyDescent="0.2">
      <c r="A598" s="24"/>
      <c r="B598" s="24"/>
    </row>
    <row r="599" spans="1:2" ht="13.5" customHeight="1" x14ac:dyDescent="0.2">
      <c r="A599" s="24"/>
      <c r="B599" s="24"/>
    </row>
    <row r="600" spans="1:2" ht="13.5" customHeight="1" x14ac:dyDescent="0.2">
      <c r="A600" s="24"/>
      <c r="B600" s="24"/>
    </row>
    <row r="601" spans="1:2" ht="13.5" customHeight="1" x14ac:dyDescent="0.2">
      <c r="A601" s="24"/>
      <c r="B601" s="24"/>
    </row>
    <row r="602" spans="1:2" ht="13.5" customHeight="1" x14ac:dyDescent="0.2">
      <c r="A602" s="24"/>
      <c r="B602" s="24"/>
    </row>
    <row r="603" spans="1:2" ht="13.5" customHeight="1" x14ac:dyDescent="0.2">
      <c r="A603" s="24"/>
      <c r="B603" s="24"/>
    </row>
    <row r="604" spans="1:2" ht="13.5" customHeight="1" x14ac:dyDescent="0.2">
      <c r="A604" s="24"/>
      <c r="B604" s="24"/>
    </row>
    <row r="605" spans="1:2" ht="13.5" customHeight="1" x14ac:dyDescent="0.2">
      <c r="A605" s="24"/>
      <c r="B605" s="24"/>
    </row>
    <row r="606" spans="1:2" ht="13.5" customHeight="1" x14ac:dyDescent="0.2">
      <c r="A606" s="24"/>
      <c r="B606" s="24"/>
    </row>
    <row r="607" spans="1:2" ht="13.5" customHeight="1" x14ac:dyDescent="0.2">
      <c r="A607" s="24"/>
      <c r="B607" s="24"/>
    </row>
    <row r="608" spans="1:2" ht="13.5" customHeight="1" x14ac:dyDescent="0.2">
      <c r="A608" s="24"/>
      <c r="B608" s="24"/>
    </row>
    <row r="609" spans="1:2" ht="13.5" customHeight="1" x14ac:dyDescent="0.2">
      <c r="A609" s="24"/>
      <c r="B609" s="24"/>
    </row>
    <row r="610" spans="1:2" ht="13.5" customHeight="1" x14ac:dyDescent="0.2">
      <c r="A610" s="24"/>
      <c r="B610" s="24"/>
    </row>
    <row r="611" spans="1:2" ht="13.5" customHeight="1" x14ac:dyDescent="0.2">
      <c r="A611" s="24"/>
      <c r="B611" s="24"/>
    </row>
    <row r="612" spans="1:2" ht="13.5" customHeight="1" x14ac:dyDescent="0.2">
      <c r="A612" s="24"/>
      <c r="B612" s="24"/>
    </row>
    <row r="613" spans="1:2" ht="13.5" customHeight="1" x14ac:dyDescent="0.2">
      <c r="A613" s="24"/>
      <c r="B613" s="24"/>
    </row>
    <row r="614" spans="1:2" ht="13.5" customHeight="1" x14ac:dyDescent="0.2">
      <c r="A614" s="24"/>
      <c r="B614" s="24"/>
    </row>
    <row r="615" spans="1:2" ht="13.5" customHeight="1" x14ac:dyDescent="0.2">
      <c r="A615" s="24"/>
      <c r="B615" s="24"/>
    </row>
    <row r="616" spans="1:2" ht="13.5" customHeight="1" x14ac:dyDescent="0.2">
      <c r="A616" s="24"/>
      <c r="B616" s="24"/>
    </row>
    <row r="617" spans="1:2" ht="13.5" customHeight="1" x14ac:dyDescent="0.2">
      <c r="A617" s="24"/>
      <c r="B617" s="24"/>
    </row>
    <row r="618" spans="1:2" ht="13.5" customHeight="1" x14ac:dyDescent="0.2">
      <c r="A618" s="24"/>
      <c r="B618" s="24"/>
    </row>
    <row r="619" spans="1:2" ht="13.5" customHeight="1" x14ac:dyDescent="0.2">
      <c r="A619" s="24"/>
      <c r="B619" s="24"/>
    </row>
    <row r="620" spans="1:2" ht="13.5" customHeight="1" x14ac:dyDescent="0.2">
      <c r="A620" s="24"/>
      <c r="B620" s="24"/>
    </row>
    <row r="621" spans="1:2" ht="13.5" customHeight="1" x14ac:dyDescent="0.2">
      <c r="A621" s="24"/>
      <c r="B621" s="24"/>
    </row>
    <row r="622" spans="1:2" ht="13.5" customHeight="1" x14ac:dyDescent="0.2">
      <c r="A622" s="24"/>
      <c r="B622" s="24"/>
    </row>
    <row r="623" spans="1:2" ht="13.5" customHeight="1" x14ac:dyDescent="0.2">
      <c r="A623" s="24"/>
      <c r="B623" s="24"/>
    </row>
    <row r="624" spans="1:2" ht="13.5" customHeight="1" x14ac:dyDescent="0.2">
      <c r="A624" s="24"/>
      <c r="B624" s="24"/>
    </row>
    <row r="625" spans="1:2" ht="13.5" customHeight="1" x14ac:dyDescent="0.2">
      <c r="A625" s="24"/>
      <c r="B625" s="24"/>
    </row>
    <row r="626" spans="1:2" ht="13.5" customHeight="1" x14ac:dyDescent="0.2">
      <c r="A626" s="24"/>
      <c r="B626" s="24"/>
    </row>
    <row r="627" spans="1:2" ht="13.5" customHeight="1" x14ac:dyDescent="0.2">
      <c r="A627" s="24"/>
      <c r="B627" s="24"/>
    </row>
    <row r="628" spans="1:2" ht="13.5" customHeight="1" x14ac:dyDescent="0.2">
      <c r="A628" s="24"/>
      <c r="B628" s="24"/>
    </row>
    <row r="629" spans="1:2" ht="13.5" customHeight="1" x14ac:dyDescent="0.2">
      <c r="A629" s="24"/>
      <c r="B629" s="24"/>
    </row>
    <row r="630" spans="1:2" ht="13.5" customHeight="1" x14ac:dyDescent="0.2">
      <c r="A630" s="24"/>
      <c r="B630" s="24"/>
    </row>
    <row r="631" spans="1:2" ht="13.5" customHeight="1" x14ac:dyDescent="0.2">
      <c r="A631" s="24"/>
      <c r="B631" s="24"/>
    </row>
    <row r="632" spans="1:2" ht="13.5" customHeight="1" x14ac:dyDescent="0.2">
      <c r="A632" s="24"/>
      <c r="B632" s="24"/>
    </row>
    <row r="633" spans="1:2" ht="13.5" customHeight="1" x14ac:dyDescent="0.2">
      <c r="A633" s="24"/>
      <c r="B633" s="24"/>
    </row>
    <row r="634" spans="1:2" ht="13.5" customHeight="1" x14ac:dyDescent="0.2">
      <c r="A634" s="24"/>
      <c r="B634" s="24"/>
    </row>
    <row r="635" spans="1:2" ht="13.5" customHeight="1" x14ac:dyDescent="0.2">
      <c r="A635" s="24"/>
      <c r="B635" s="24"/>
    </row>
    <row r="636" spans="1:2" ht="13.5" customHeight="1" x14ac:dyDescent="0.2">
      <c r="A636" s="24"/>
      <c r="B636" s="24"/>
    </row>
    <row r="637" spans="1:2" ht="13.5" customHeight="1" x14ac:dyDescent="0.2">
      <c r="A637" s="24"/>
      <c r="B637" s="24"/>
    </row>
    <row r="638" spans="1:2" ht="13.5" customHeight="1" x14ac:dyDescent="0.2">
      <c r="A638" s="24"/>
      <c r="B638" s="24"/>
    </row>
    <row r="639" spans="1:2" ht="13.5" customHeight="1" x14ac:dyDescent="0.2">
      <c r="A639" s="24"/>
      <c r="B639" s="24"/>
    </row>
    <row r="640" spans="1:2" ht="13.5" customHeight="1" x14ac:dyDescent="0.2">
      <c r="A640" s="24"/>
      <c r="B640" s="24"/>
    </row>
    <row r="641" spans="1:2" ht="13.5" customHeight="1" x14ac:dyDescent="0.2">
      <c r="A641" s="24"/>
      <c r="B641" s="24"/>
    </row>
    <row r="642" spans="1:2" ht="13.5" customHeight="1" x14ac:dyDescent="0.2">
      <c r="A642" s="24"/>
      <c r="B642" s="24"/>
    </row>
    <row r="643" spans="1:2" ht="13.5" customHeight="1" x14ac:dyDescent="0.2">
      <c r="A643" s="24"/>
      <c r="B643" s="24"/>
    </row>
    <row r="644" spans="1:2" ht="13.5" customHeight="1" x14ac:dyDescent="0.2">
      <c r="A644" s="24"/>
      <c r="B644" s="24"/>
    </row>
    <row r="645" spans="1:2" ht="13.5" customHeight="1" x14ac:dyDescent="0.2">
      <c r="A645" s="24"/>
      <c r="B645" s="24"/>
    </row>
    <row r="646" spans="1:2" ht="13.5" customHeight="1" x14ac:dyDescent="0.2">
      <c r="A646" s="24"/>
      <c r="B646" s="24"/>
    </row>
    <row r="647" spans="1:2" ht="13.5" customHeight="1" x14ac:dyDescent="0.2">
      <c r="A647" s="24"/>
      <c r="B647" s="24"/>
    </row>
    <row r="648" spans="1:2" ht="13.5" customHeight="1" x14ac:dyDescent="0.2">
      <c r="A648" s="24"/>
      <c r="B648" s="24"/>
    </row>
    <row r="649" spans="1:2" ht="13.5" customHeight="1" x14ac:dyDescent="0.2">
      <c r="A649" s="24"/>
      <c r="B649" s="24"/>
    </row>
    <row r="650" spans="1:2" ht="13.5" customHeight="1" x14ac:dyDescent="0.2">
      <c r="A650" s="24"/>
      <c r="B650" s="24"/>
    </row>
    <row r="651" spans="1:2" ht="13.5" customHeight="1" x14ac:dyDescent="0.2">
      <c r="A651" s="24"/>
      <c r="B651" s="24"/>
    </row>
    <row r="652" spans="1:2" ht="13.5" customHeight="1" x14ac:dyDescent="0.2">
      <c r="A652" s="24"/>
      <c r="B652" s="24"/>
    </row>
    <row r="653" spans="1:2" ht="13.5" customHeight="1" x14ac:dyDescent="0.2">
      <c r="A653" s="24"/>
      <c r="B653" s="24"/>
    </row>
    <row r="654" spans="1:2" ht="13.5" customHeight="1" x14ac:dyDescent="0.2">
      <c r="A654" s="24"/>
      <c r="B654" s="24"/>
    </row>
    <row r="655" spans="1:2" ht="13.5" customHeight="1" x14ac:dyDescent="0.2">
      <c r="A655" s="24"/>
      <c r="B655" s="24"/>
    </row>
    <row r="656" spans="1:2" ht="13.5" customHeight="1" x14ac:dyDescent="0.2">
      <c r="A656" s="24"/>
      <c r="B656" s="24"/>
    </row>
    <row r="657" spans="1:2" ht="13.5" customHeight="1" x14ac:dyDescent="0.2">
      <c r="A657" s="24"/>
      <c r="B657" s="24"/>
    </row>
    <row r="658" spans="1:2" ht="13.5" customHeight="1" x14ac:dyDescent="0.2">
      <c r="A658" s="24"/>
      <c r="B658" s="24"/>
    </row>
    <row r="659" spans="1:2" ht="13.5" customHeight="1" x14ac:dyDescent="0.2">
      <c r="A659" s="24"/>
      <c r="B659" s="24"/>
    </row>
    <row r="660" spans="1:2" ht="13.5" customHeight="1" x14ac:dyDescent="0.2">
      <c r="A660" s="24"/>
      <c r="B660" s="24"/>
    </row>
    <row r="661" spans="1:2" ht="13.5" customHeight="1" x14ac:dyDescent="0.2">
      <c r="A661" s="24"/>
      <c r="B661" s="24"/>
    </row>
    <row r="662" spans="1:2" ht="13.5" customHeight="1" x14ac:dyDescent="0.2">
      <c r="A662" s="24"/>
      <c r="B662" s="24"/>
    </row>
    <row r="663" spans="1:2" ht="13.5" customHeight="1" x14ac:dyDescent="0.2">
      <c r="A663" s="24"/>
      <c r="B663" s="24"/>
    </row>
    <row r="664" spans="1:2" ht="13.5" customHeight="1" x14ac:dyDescent="0.2">
      <c r="A664" s="24"/>
      <c r="B664" s="24"/>
    </row>
    <row r="665" spans="1:2" ht="13.5" customHeight="1" x14ac:dyDescent="0.2">
      <c r="A665" s="24"/>
      <c r="B665" s="24"/>
    </row>
    <row r="666" spans="1:2" ht="13.5" customHeight="1" x14ac:dyDescent="0.2">
      <c r="A666" s="24"/>
      <c r="B666" s="24"/>
    </row>
    <row r="667" spans="1:2" ht="13.5" customHeight="1" x14ac:dyDescent="0.2">
      <c r="A667" s="24"/>
      <c r="B667" s="24"/>
    </row>
    <row r="668" spans="1:2" ht="13.5" customHeight="1" x14ac:dyDescent="0.2">
      <c r="A668" s="24"/>
      <c r="B668" s="24"/>
    </row>
    <row r="669" spans="1:2" ht="13.5" customHeight="1" x14ac:dyDescent="0.2">
      <c r="A669" s="24"/>
      <c r="B669" s="24"/>
    </row>
    <row r="670" spans="1:2" ht="13.5" customHeight="1" x14ac:dyDescent="0.2">
      <c r="A670" s="24"/>
      <c r="B670" s="24"/>
    </row>
    <row r="671" spans="1:2" ht="13.5" customHeight="1" x14ac:dyDescent="0.2">
      <c r="A671" s="24"/>
      <c r="B671" s="24"/>
    </row>
    <row r="672" spans="1:2" ht="13.5" customHeight="1" x14ac:dyDescent="0.2">
      <c r="A672" s="24"/>
      <c r="B672" s="24"/>
    </row>
    <row r="673" spans="1:2" ht="13.5" customHeight="1" x14ac:dyDescent="0.2">
      <c r="A673" s="24"/>
      <c r="B673" s="24"/>
    </row>
    <row r="674" spans="1:2" ht="13.5" customHeight="1" x14ac:dyDescent="0.2">
      <c r="A674" s="24"/>
      <c r="B674" s="24"/>
    </row>
    <row r="675" spans="1:2" ht="13.5" customHeight="1" x14ac:dyDescent="0.2">
      <c r="A675" s="24"/>
      <c r="B675" s="24"/>
    </row>
    <row r="676" spans="1:2" ht="13.5" customHeight="1" x14ac:dyDescent="0.2">
      <c r="A676" s="24"/>
      <c r="B676" s="24"/>
    </row>
    <row r="677" spans="1:2" ht="13.5" customHeight="1" x14ac:dyDescent="0.2">
      <c r="A677" s="24"/>
      <c r="B677" s="24"/>
    </row>
    <row r="678" spans="1:2" ht="13.5" customHeight="1" x14ac:dyDescent="0.2">
      <c r="A678" s="24"/>
      <c r="B678" s="24"/>
    </row>
    <row r="679" spans="1:2" ht="13.5" customHeight="1" x14ac:dyDescent="0.2">
      <c r="A679" s="24"/>
      <c r="B679" s="24"/>
    </row>
    <row r="680" spans="1:2" ht="13.5" customHeight="1" x14ac:dyDescent="0.2">
      <c r="A680" s="24"/>
      <c r="B680" s="24"/>
    </row>
    <row r="681" spans="1:2" ht="13.5" customHeight="1" x14ac:dyDescent="0.2">
      <c r="A681" s="24"/>
      <c r="B681" s="24"/>
    </row>
    <row r="682" spans="1:2" ht="13.5" customHeight="1" x14ac:dyDescent="0.2">
      <c r="A682" s="24"/>
      <c r="B682" s="24"/>
    </row>
    <row r="683" spans="1:2" ht="13.5" customHeight="1" x14ac:dyDescent="0.2">
      <c r="A683" s="24"/>
      <c r="B683" s="24"/>
    </row>
    <row r="684" spans="1:2" ht="13.5" customHeight="1" x14ac:dyDescent="0.2">
      <c r="A684" s="24"/>
      <c r="B684" s="24"/>
    </row>
    <row r="685" spans="1:2" ht="13.5" customHeight="1" x14ac:dyDescent="0.2">
      <c r="A685" s="24"/>
      <c r="B685" s="24"/>
    </row>
    <row r="686" spans="1:2" ht="13.5" customHeight="1" x14ac:dyDescent="0.2">
      <c r="A686" s="24"/>
      <c r="B686" s="24"/>
    </row>
    <row r="687" spans="1:2" ht="13.5" customHeight="1" x14ac:dyDescent="0.2">
      <c r="A687" s="24"/>
      <c r="B687" s="24"/>
    </row>
    <row r="688" spans="1:2" ht="13.5" customHeight="1" x14ac:dyDescent="0.2">
      <c r="A688" s="24"/>
      <c r="B688" s="24"/>
    </row>
    <row r="689" spans="1:2" ht="13.5" customHeight="1" x14ac:dyDescent="0.2">
      <c r="A689" s="24"/>
      <c r="B689" s="24"/>
    </row>
    <row r="690" spans="1:2" ht="13.5" customHeight="1" x14ac:dyDescent="0.2">
      <c r="A690" s="24"/>
      <c r="B690" s="24"/>
    </row>
    <row r="691" spans="1:2" ht="13.5" customHeight="1" x14ac:dyDescent="0.2">
      <c r="A691" s="24"/>
      <c r="B691" s="24"/>
    </row>
    <row r="692" spans="1:2" ht="13.5" customHeight="1" x14ac:dyDescent="0.2">
      <c r="A692" s="24"/>
      <c r="B692" s="24"/>
    </row>
    <row r="693" spans="1:2" ht="13.5" customHeight="1" x14ac:dyDescent="0.2">
      <c r="A693" s="24"/>
      <c r="B693" s="24"/>
    </row>
    <row r="694" spans="1:2" ht="13.5" customHeight="1" x14ac:dyDescent="0.2">
      <c r="A694" s="24"/>
      <c r="B694" s="24"/>
    </row>
    <row r="695" spans="1:2" ht="13.5" customHeight="1" x14ac:dyDescent="0.2">
      <c r="A695" s="24"/>
      <c r="B695" s="24"/>
    </row>
    <row r="696" spans="1:2" ht="13.5" customHeight="1" x14ac:dyDescent="0.2">
      <c r="A696" s="24"/>
      <c r="B696" s="24"/>
    </row>
    <row r="697" spans="1:2" ht="13.5" customHeight="1" x14ac:dyDescent="0.2">
      <c r="A697" s="24"/>
      <c r="B697" s="24"/>
    </row>
    <row r="698" spans="1:2" ht="13.5" customHeight="1" x14ac:dyDescent="0.2">
      <c r="A698" s="24"/>
      <c r="B698" s="24"/>
    </row>
    <row r="699" spans="1:2" ht="13.5" customHeight="1" x14ac:dyDescent="0.2">
      <c r="A699" s="24"/>
      <c r="B699" s="24"/>
    </row>
    <row r="700" spans="1:2" ht="13.5" customHeight="1" x14ac:dyDescent="0.2">
      <c r="A700" s="24"/>
      <c r="B700" s="24"/>
    </row>
    <row r="701" spans="1:2" ht="13.5" customHeight="1" x14ac:dyDescent="0.2">
      <c r="A701" s="24"/>
      <c r="B701" s="24"/>
    </row>
    <row r="702" spans="1:2" ht="13.5" customHeight="1" x14ac:dyDescent="0.2">
      <c r="A702" s="24"/>
      <c r="B702" s="24"/>
    </row>
    <row r="703" spans="1:2" ht="13.5" customHeight="1" x14ac:dyDescent="0.2">
      <c r="A703" s="24"/>
      <c r="B703" s="24"/>
    </row>
    <row r="704" spans="1:2" ht="13.5" customHeight="1" x14ac:dyDescent="0.2">
      <c r="A704" s="24"/>
      <c r="B704" s="24"/>
    </row>
    <row r="705" spans="1:2" ht="13.5" customHeight="1" x14ac:dyDescent="0.2">
      <c r="A705" s="24"/>
      <c r="B705" s="24"/>
    </row>
    <row r="706" spans="1:2" ht="13.5" customHeight="1" x14ac:dyDescent="0.2">
      <c r="A706" s="24"/>
      <c r="B706" s="24"/>
    </row>
    <row r="707" spans="1:2" ht="13.5" customHeight="1" x14ac:dyDescent="0.2">
      <c r="A707" s="24"/>
      <c r="B707" s="24"/>
    </row>
    <row r="708" spans="1:2" ht="13.5" customHeight="1" x14ac:dyDescent="0.2">
      <c r="A708" s="24"/>
      <c r="B708" s="24"/>
    </row>
    <row r="709" spans="1:2" ht="13.5" customHeight="1" x14ac:dyDescent="0.2">
      <c r="A709" s="24"/>
      <c r="B709" s="24"/>
    </row>
    <row r="710" spans="1:2" ht="13.5" customHeight="1" x14ac:dyDescent="0.2">
      <c r="A710" s="24"/>
      <c r="B710" s="24"/>
    </row>
    <row r="711" spans="1:2" ht="13.5" customHeight="1" x14ac:dyDescent="0.2">
      <c r="A711" s="24"/>
      <c r="B711" s="24"/>
    </row>
    <row r="712" spans="1:2" ht="13.5" customHeight="1" x14ac:dyDescent="0.2">
      <c r="A712" s="24"/>
      <c r="B712" s="24"/>
    </row>
    <row r="713" spans="1:2" ht="13.5" customHeight="1" x14ac:dyDescent="0.2">
      <c r="A713" s="24"/>
      <c r="B713" s="24"/>
    </row>
    <row r="714" spans="1:2" ht="13.5" customHeight="1" x14ac:dyDescent="0.2">
      <c r="A714" s="24"/>
      <c r="B714" s="24"/>
    </row>
    <row r="715" spans="1:2" ht="13.5" customHeight="1" x14ac:dyDescent="0.2">
      <c r="A715" s="24"/>
      <c r="B715" s="24"/>
    </row>
    <row r="716" spans="1:2" ht="13.5" customHeight="1" x14ac:dyDescent="0.2">
      <c r="A716" s="24"/>
      <c r="B716" s="24"/>
    </row>
    <row r="717" spans="1:2" ht="13.5" customHeight="1" x14ac:dyDescent="0.2">
      <c r="A717" s="24"/>
      <c r="B717" s="24"/>
    </row>
    <row r="718" spans="1:2" ht="13.5" customHeight="1" x14ac:dyDescent="0.2">
      <c r="A718" s="24"/>
      <c r="B718" s="24"/>
    </row>
    <row r="719" spans="1:2" ht="13.5" customHeight="1" x14ac:dyDescent="0.2">
      <c r="A719" s="24"/>
      <c r="B719" s="24"/>
    </row>
    <row r="720" spans="1:2" ht="13.5" customHeight="1" x14ac:dyDescent="0.2">
      <c r="A720" s="24"/>
      <c r="B720" s="24"/>
    </row>
    <row r="721" spans="1:2" ht="13.5" customHeight="1" x14ac:dyDescent="0.2">
      <c r="A721" s="24"/>
      <c r="B721" s="24"/>
    </row>
    <row r="722" spans="1:2" ht="13.5" customHeight="1" x14ac:dyDescent="0.2">
      <c r="A722" s="24"/>
      <c r="B722" s="24"/>
    </row>
    <row r="723" spans="1:2" ht="13.5" customHeight="1" x14ac:dyDescent="0.2">
      <c r="A723" s="24"/>
      <c r="B723" s="24"/>
    </row>
    <row r="724" spans="1:2" ht="13.5" customHeight="1" x14ac:dyDescent="0.2">
      <c r="A724" s="24"/>
      <c r="B724" s="24"/>
    </row>
    <row r="725" spans="1:2" ht="13.5" customHeight="1" x14ac:dyDescent="0.2">
      <c r="A725" s="24"/>
      <c r="B725" s="24"/>
    </row>
    <row r="726" spans="1:2" ht="13.5" customHeight="1" x14ac:dyDescent="0.2">
      <c r="A726" s="24"/>
      <c r="B726" s="24"/>
    </row>
    <row r="727" spans="1:2" ht="13.5" customHeight="1" x14ac:dyDescent="0.2">
      <c r="A727" s="24"/>
      <c r="B727" s="24"/>
    </row>
    <row r="728" spans="1:2" ht="13.5" customHeight="1" x14ac:dyDescent="0.2">
      <c r="A728" s="24"/>
      <c r="B728" s="24"/>
    </row>
    <row r="729" spans="1:2" ht="13.5" customHeight="1" x14ac:dyDescent="0.2">
      <c r="A729" s="24"/>
      <c r="B729" s="24"/>
    </row>
    <row r="730" spans="1:2" ht="13.5" customHeight="1" x14ac:dyDescent="0.2">
      <c r="A730" s="24"/>
      <c r="B730" s="24"/>
    </row>
    <row r="731" spans="1:2" ht="13.5" customHeight="1" x14ac:dyDescent="0.2">
      <c r="A731" s="24"/>
      <c r="B731" s="24"/>
    </row>
    <row r="732" spans="1:2" ht="13.5" customHeight="1" x14ac:dyDescent="0.2">
      <c r="A732" s="24"/>
      <c r="B732" s="24"/>
    </row>
    <row r="733" spans="1:2" ht="13.5" customHeight="1" x14ac:dyDescent="0.2">
      <c r="A733" s="24"/>
      <c r="B733" s="24"/>
    </row>
    <row r="734" spans="1:2" ht="13.5" customHeight="1" x14ac:dyDescent="0.2">
      <c r="A734" s="24"/>
      <c r="B734" s="24"/>
    </row>
    <row r="735" spans="1:2" ht="13.5" customHeight="1" x14ac:dyDescent="0.2">
      <c r="A735" s="24"/>
      <c r="B735" s="24"/>
    </row>
    <row r="736" spans="1:2" ht="13.5" customHeight="1" x14ac:dyDescent="0.2">
      <c r="A736" s="24"/>
      <c r="B736" s="24"/>
    </row>
    <row r="737" spans="1:2" ht="13.5" customHeight="1" x14ac:dyDescent="0.2">
      <c r="A737" s="24"/>
      <c r="B737" s="24"/>
    </row>
    <row r="738" spans="1:2" ht="13.5" customHeight="1" x14ac:dyDescent="0.2">
      <c r="A738" s="24"/>
      <c r="B738" s="24"/>
    </row>
    <row r="739" spans="1:2" ht="13.5" customHeight="1" x14ac:dyDescent="0.2">
      <c r="A739" s="24"/>
      <c r="B739" s="24"/>
    </row>
    <row r="740" spans="1:2" ht="13.5" customHeight="1" x14ac:dyDescent="0.2">
      <c r="A740" s="24"/>
      <c r="B740" s="24"/>
    </row>
    <row r="741" spans="1:2" ht="13.5" customHeight="1" x14ac:dyDescent="0.2">
      <c r="A741" s="24"/>
      <c r="B741" s="24"/>
    </row>
    <row r="742" spans="1:2" ht="13.5" customHeight="1" x14ac:dyDescent="0.2">
      <c r="A742" s="24"/>
      <c r="B742" s="24"/>
    </row>
    <row r="743" spans="1:2" ht="13.5" customHeight="1" x14ac:dyDescent="0.2">
      <c r="A743" s="24"/>
      <c r="B743" s="24"/>
    </row>
    <row r="744" spans="1:2" ht="13.5" customHeight="1" x14ac:dyDescent="0.2">
      <c r="A744" s="24"/>
      <c r="B744" s="24"/>
    </row>
    <row r="745" spans="1:2" ht="13.5" customHeight="1" x14ac:dyDescent="0.2">
      <c r="A745" s="24"/>
      <c r="B745" s="24"/>
    </row>
    <row r="746" spans="1:2" ht="13.5" customHeight="1" x14ac:dyDescent="0.2">
      <c r="A746" s="24"/>
      <c r="B746" s="24"/>
    </row>
    <row r="747" spans="1:2" ht="13.5" customHeight="1" x14ac:dyDescent="0.2">
      <c r="A747" s="24"/>
      <c r="B747" s="24"/>
    </row>
    <row r="748" spans="1:2" ht="13.5" customHeight="1" x14ac:dyDescent="0.2">
      <c r="A748" s="24"/>
      <c r="B748" s="24"/>
    </row>
    <row r="749" spans="1:2" ht="13.5" customHeight="1" x14ac:dyDescent="0.2">
      <c r="A749" s="24"/>
      <c r="B749" s="24"/>
    </row>
    <row r="750" spans="1:2" ht="13.5" customHeight="1" x14ac:dyDescent="0.2">
      <c r="A750" s="24"/>
      <c r="B750" s="24"/>
    </row>
    <row r="751" spans="1:2" ht="13.5" customHeight="1" x14ac:dyDescent="0.2">
      <c r="A751" s="24"/>
      <c r="B751" s="24"/>
    </row>
    <row r="752" spans="1:2" ht="13.5" customHeight="1" x14ac:dyDescent="0.2">
      <c r="A752" s="24"/>
      <c r="B752" s="24"/>
    </row>
    <row r="753" spans="1:2" ht="13.5" customHeight="1" x14ac:dyDescent="0.2">
      <c r="A753" s="24"/>
      <c r="B753" s="24"/>
    </row>
    <row r="754" spans="1:2" ht="13.5" customHeight="1" x14ac:dyDescent="0.2">
      <c r="A754" s="24"/>
      <c r="B754" s="24"/>
    </row>
    <row r="755" spans="1:2" ht="13.5" customHeight="1" x14ac:dyDescent="0.2">
      <c r="A755" s="24"/>
      <c r="B755" s="24"/>
    </row>
    <row r="756" spans="1:2" ht="13.5" customHeight="1" x14ac:dyDescent="0.2">
      <c r="A756" s="24"/>
      <c r="B756" s="24"/>
    </row>
    <row r="757" spans="1:2" ht="13.5" customHeight="1" x14ac:dyDescent="0.2">
      <c r="A757" s="24"/>
      <c r="B757" s="24"/>
    </row>
    <row r="758" spans="1:2" ht="13.5" customHeight="1" x14ac:dyDescent="0.2">
      <c r="A758" s="24"/>
      <c r="B758" s="24"/>
    </row>
    <row r="759" spans="1:2" ht="13.5" customHeight="1" x14ac:dyDescent="0.2">
      <c r="A759" s="24"/>
      <c r="B759" s="24"/>
    </row>
    <row r="760" spans="1:2" ht="13.5" customHeight="1" x14ac:dyDescent="0.2">
      <c r="A760" s="24"/>
      <c r="B760" s="24"/>
    </row>
    <row r="761" spans="1:2" ht="13.5" customHeight="1" x14ac:dyDescent="0.2">
      <c r="A761" s="24"/>
      <c r="B761" s="24"/>
    </row>
    <row r="762" spans="1:2" ht="13.5" customHeight="1" x14ac:dyDescent="0.2">
      <c r="A762" s="24"/>
      <c r="B762" s="24"/>
    </row>
    <row r="763" spans="1:2" ht="13.5" customHeight="1" x14ac:dyDescent="0.2">
      <c r="A763" s="24"/>
      <c r="B763" s="24"/>
    </row>
    <row r="764" spans="1:2" ht="13.5" customHeight="1" x14ac:dyDescent="0.2">
      <c r="A764" s="24"/>
      <c r="B764" s="24"/>
    </row>
    <row r="765" spans="1:2" ht="13.5" customHeight="1" x14ac:dyDescent="0.2">
      <c r="A765" s="24"/>
      <c r="B765" s="24"/>
    </row>
    <row r="766" spans="1:2" ht="13.5" customHeight="1" x14ac:dyDescent="0.2">
      <c r="A766" s="24"/>
      <c r="B766" s="24"/>
    </row>
    <row r="767" spans="1:2" ht="13.5" customHeight="1" x14ac:dyDescent="0.2">
      <c r="A767" s="24"/>
      <c r="B767" s="24"/>
    </row>
    <row r="768" spans="1:2" ht="13.5" customHeight="1" x14ac:dyDescent="0.2">
      <c r="A768" s="24"/>
      <c r="B768" s="24"/>
    </row>
    <row r="769" spans="1:2" ht="13.5" customHeight="1" x14ac:dyDescent="0.2">
      <c r="A769" s="24"/>
      <c r="B769" s="24"/>
    </row>
    <row r="770" spans="1:2" ht="13.5" customHeight="1" x14ac:dyDescent="0.2">
      <c r="A770" s="24"/>
      <c r="B770" s="24"/>
    </row>
    <row r="771" spans="1:2" ht="13.5" customHeight="1" x14ac:dyDescent="0.2">
      <c r="A771" s="24"/>
      <c r="B771" s="24"/>
    </row>
    <row r="772" spans="1:2" ht="13.5" customHeight="1" x14ac:dyDescent="0.2">
      <c r="A772" s="24"/>
      <c r="B772" s="24"/>
    </row>
    <row r="773" spans="1:2" ht="13.5" customHeight="1" x14ac:dyDescent="0.2">
      <c r="A773" s="24"/>
      <c r="B773" s="24"/>
    </row>
    <row r="774" spans="1:2" ht="13.5" customHeight="1" x14ac:dyDescent="0.2">
      <c r="A774" s="24"/>
      <c r="B774" s="24"/>
    </row>
    <row r="775" spans="1:2" ht="13.5" customHeight="1" x14ac:dyDescent="0.2">
      <c r="A775" s="24"/>
      <c r="B775" s="24"/>
    </row>
    <row r="776" spans="1:2" ht="13.5" customHeight="1" x14ac:dyDescent="0.2">
      <c r="A776" s="24"/>
      <c r="B776" s="24"/>
    </row>
    <row r="777" spans="1:2" ht="13.5" customHeight="1" x14ac:dyDescent="0.2">
      <c r="A777" s="24"/>
      <c r="B777" s="24"/>
    </row>
    <row r="778" spans="1:2" ht="13.5" customHeight="1" x14ac:dyDescent="0.2">
      <c r="A778" s="24"/>
      <c r="B778" s="24"/>
    </row>
    <row r="779" spans="1:2" ht="13.5" customHeight="1" x14ac:dyDescent="0.2">
      <c r="A779" s="24"/>
      <c r="B779" s="24"/>
    </row>
    <row r="780" spans="1:2" ht="13.5" customHeight="1" x14ac:dyDescent="0.2">
      <c r="A780" s="24"/>
      <c r="B780" s="24"/>
    </row>
    <row r="781" spans="1:2" ht="13.5" customHeight="1" x14ac:dyDescent="0.2">
      <c r="A781" s="24"/>
      <c r="B781" s="24"/>
    </row>
    <row r="782" spans="1:2" ht="13.5" customHeight="1" x14ac:dyDescent="0.2">
      <c r="A782" s="24"/>
      <c r="B782" s="24"/>
    </row>
    <row r="783" spans="1:2" ht="13.5" customHeight="1" x14ac:dyDescent="0.2">
      <c r="A783" s="24"/>
      <c r="B783" s="24"/>
    </row>
    <row r="784" spans="1:2" ht="13.5" customHeight="1" x14ac:dyDescent="0.2">
      <c r="A784" s="24"/>
      <c r="B784" s="24"/>
    </row>
    <row r="785" spans="1:2" ht="13.5" customHeight="1" x14ac:dyDescent="0.2">
      <c r="A785" s="24"/>
      <c r="B785" s="24"/>
    </row>
    <row r="786" spans="1:2" ht="13.5" customHeight="1" x14ac:dyDescent="0.2">
      <c r="A786" s="24"/>
      <c r="B786" s="24"/>
    </row>
    <row r="787" spans="1:2" ht="13.5" customHeight="1" x14ac:dyDescent="0.2">
      <c r="A787" s="24"/>
      <c r="B787" s="24"/>
    </row>
    <row r="788" spans="1:2" ht="13.5" customHeight="1" x14ac:dyDescent="0.2">
      <c r="A788" s="24"/>
      <c r="B788" s="24"/>
    </row>
    <row r="789" spans="1:2" ht="13.5" customHeight="1" x14ac:dyDescent="0.2">
      <c r="A789" s="24"/>
      <c r="B789" s="24"/>
    </row>
    <row r="790" spans="1:2" ht="13.5" customHeight="1" x14ac:dyDescent="0.2">
      <c r="A790" s="24"/>
      <c r="B790" s="24"/>
    </row>
    <row r="791" spans="1:2" ht="13.5" customHeight="1" x14ac:dyDescent="0.2">
      <c r="A791" s="24"/>
      <c r="B791" s="24"/>
    </row>
    <row r="792" spans="1:2" ht="13.5" customHeight="1" x14ac:dyDescent="0.2">
      <c r="A792" s="24"/>
      <c r="B792" s="24"/>
    </row>
    <row r="793" spans="1:2" ht="13.5" customHeight="1" x14ac:dyDescent="0.2">
      <c r="A793" s="24"/>
      <c r="B793" s="24"/>
    </row>
    <row r="794" spans="1:2" ht="13.5" customHeight="1" x14ac:dyDescent="0.2">
      <c r="A794" s="24"/>
      <c r="B794" s="24"/>
    </row>
    <row r="795" spans="1:2" ht="13.5" customHeight="1" x14ac:dyDescent="0.2">
      <c r="A795" s="24"/>
      <c r="B795" s="24"/>
    </row>
    <row r="796" spans="1:2" ht="13.5" customHeight="1" x14ac:dyDescent="0.2">
      <c r="A796" s="24"/>
      <c r="B796" s="24"/>
    </row>
    <row r="797" spans="1:2" ht="13.5" customHeight="1" x14ac:dyDescent="0.2">
      <c r="A797" s="24"/>
      <c r="B797" s="24"/>
    </row>
    <row r="798" spans="1:2" ht="13.5" customHeight="1" x14ac:dyDescent="0.2">
      <c r="A798" s="24"/>
      <c r="B798" s="24"/>
    </row>
    <row r="799" spans="1:2" ht="13.5" customHeight="1" x14ac:dyDescent="0.2">
      <c r="A799" s="24"/>
      <c r="B799" s="24"/>
    </row>
    <row r="800" spans="1:2" ht="13.5" customHeight="1" x14ac:dyDescent="0.2">
      <c r="A800" s="24"/>
      <c r="B800" s="24"/>
    </row>
    <row r="801" spans="1:2" ht="13.5" customHeight="1" x14ac:dyDescent="0.2">
      <c r="A801" s="24"/>
      <c r="B801" s="24"/>
    </row>
    <row r="802" spans="1:2" ht="13.5" customHeight="1" x14ac:dyDescent="0.2">
      <c r="A802" s="24"/>
      <c r="B802" s="24"/>
    </row>
    <row r="803" spans="1:2" ht="13.5" customHeight="1" x14ac:dyDescent="0.2">
      <c r="A803" s="24"/>
      <c r="B803" s="24"/>
    </row>
    <row r="804" spans="1:2" ht="13.5" customHeight="1" x14ac:dyDescent="0.2">
      <c r="A804" s="24"/>
      <c r="B804" s="24"/>
    </row>
    <row r="805" spans="1:2" ht="13.5" customHeight="1" x14ac:dyDescent="0.2">
      <c r="A805" s="24"/>
      <c r="B805" s="24"/>
    </row>
    <row r="806" spans="1:2" ht="13.5" customHeight="1" x14ac:dyDescent="0.2">
      <c r="A806" s="24"/>
      <c r="B806" s="24"/>
    </row>
    <row r="807" spans="1:2" ht="13.5" customHeight="1" x14ac:dyDescent="0.2">
      <c r="A807" s="24"/>
      <c r="B807" s="24"/>
    </row>
    <row r="808" spans="1:2" ht="13.5" customHeight="1" x14ac:dyDescent="0.2">
      <c r="A808" s="24"/>
      <c r="B808" s="24"/>
    </row>
    <row r="809" spans="1:2" ht="13.5" customHeight="1" x14ac:dyDescent="0.2">
      <c r="A809" s="24"/>
      <c r="B809" s="24"/>
    </row>
    <row r="810" spans="1:2" ht="13.5" customHeight="1" x14ac:dyDescent="0.2">
      <c r="A810" s="24"/>
      <c r="B810" s="24"/>
    </row>
    <row r="811" spans="1:2" ht="13.5" customHeight="1" x14ac:dyDescent="0.2">
      <c r="A811" s="24"/>
      <c r="B811" s="24"/>
    </row>
    <row r="812" spans="1:2" ht="13.5" customHeight="1" x14ac:dyDescent="0.2">
      <c r="A812" s="24"/>
      <c r="B812" s="24"/>
    </row>
    <row r="813" spans="1:2" ht="13.5" customHeight="1" x14ac:dyDescent="0.2">
      <c r="A813" s="24"/>
      <c r="B813" s="24"/>
    </row>
    <row r="814" spans="1:2" ht="13.5" customHeight="1" x14ac:dyDescent="0.2">
      <c r="A814" s="24"/>
      <c r="B814" s="24"/>
    </row>
    <row r="815" spans="1:2" ht="13.5" customHeight="1" x14ac:dyDescent="0.2">
      <c r="A815" s="24"/>
      <c r="B815" s="24"/>
    </row>
    <row r="816" spans="1:2" ht="13.5" customHeight="1" x14ac:dyDescent="0.2">
      <c r="A816" s="24"/>
      <c r="B816" s="24"/>
    </row>
    <row r="817" spans="1:2" ht="13.5" customHeight="1" x14ac:dyDescent="0.2">
      <c r="A817" s="24"/>
      <c r="B817" s="24"/>
    </row>
    <row r="818" spans="1:2" ht="13.5" customHeight="1" x14ac:dyDescent="0.2">
      <c r="A818" s="24"/>
      <c r="B818" s="24"/>
    </row>
    <row r="819" spans="1:2" ht="13.5" customHeight="1" x14ac:dyDescent="0.2">
      <c r="A819" s="24"/>
      <c r="B819" s="24"/>
    </row>
    <row r="820" spans="1:2" ht="13.5" customHeight="1" x14ac:dyDescent="0.2">
      <c r="A820" s="24"/>
      <c r="B820" s="24"/>
    </row>
    <row r="821" spans="1:2" ht="13.5" customHeight="1" x14ac:dyDescent="0.2">
      <c r="A821" s="24"/>
      <c r="B821" s="24"/>
    </row>
    <row r="822" spans="1:2" ht="13.5" customHeight="1" x14ac:dyDescent="0.2">
      <c r="A822" s="24"/>
      <c r="B822" s="24"/>
    </row>
    <row r="823" spans="1:2" ht="13.5" customHeight="1" x14ac:dyDescent="0.2">
      <c r="A823" s="24"/>
      <c r="B823" s="24"/>
    </row>
    <row r="824" spans="1:2" ht="13.5" customHeight="1" x14ac:dyDescent="0.2">
      <c r="A824" s="24"/>
      <c r="B824" s="24"/>
    </row>
    <row r="825" spans="1:2" ht="13.5" customHeight="1" x14ac:dyDescent="0.2">
      <c r="A825" s="24"/>
      <c r="B825" s="24"/>
    </row>
    <row r="826" spans="1:2" ht="13.5" customHeight="1" x14ac:dyDescent="0.2">
      <c r="A826" s="24"/>
      <c r="B826" s="24"/>
    </row>
    <row r="827" spans="1:2" ht="13.5" customHeight="1" x14ac:dyDescent="0.2">
      <c r="A827" s="24"/>
      <c r="B827" s="24"/>
    </row>
    <row r="828" spans="1:2" ht="13.5" customHeight="1" x14ac:dyDescent="0.2">
      <c r="A828" s="24"/>
      <c r="B828" s="24"/>
    </row>
    <row r="829" spans="1:2" ht="13.5" customHeight="1" x14ac:dyDescent="0.2">
      <c r="A829" s="24"/>
      <c r="B829" s="24"/>
    </row>
    <row r="830" spans="1:2" ht="13.5" customHeight="1" x14ac:dyDescent="0.2">
      <c r="A830" s="24"/>
      <c r="B830" s="24"/>
    </row>
    <row r="831" spans="1:2" ht="13.5" customHeight="1" x14ac:dyDescent="0.2">
      <c r="A831" s="24"/>
      <c r="B831" s="24"/>
    </row>
    <row r="832" spans="1:2" ht="13.5" customHeight="1" x14ac:dyDescent="0.2">
      <c r="A832" s="24"/>
      <c r="B832" s="24"/>
    </row>
    <row r="833" spans="1:2" ht="13.5" customHeight="1" x14ac:dyDescent="0.2">
      <c r="A833" s="24"/>
      <c r="B833" s="24"/>
    </row>
    <row r="834" spans="1:2" ht="13.5" customHeight="1" x14ac:dyDescent="0.2">
      <c r="A834" s="24"/>
      <c r="B834" s="24"/>
    </row>
    <row r="835" spans="1:2" ht="13.5" customHeight="1" x14ac:dyDescent="0.2">
      <c r="A835" s="24"/>
      <c r="B835" s="24"/>
    </row>
    <row r="836" spans="1:2" ht="13.5" customHeight="1" x14ac:dyDescent="0.2">
      <c r="A836" s="24"/>
      <c r="B836" s="24"/>
    </row>
    <row r="837" spans="1:2" ht="13.5" customHeight="1" x14ac:dyDescent="0.2">
      <c r="A837" s="24"/>
      <c r="B837" s="24"/>
    </row>
    <row r="838" spans="1:2" ht="13.5" customHeight="1" x14ac:dyDescent="0.2">
      <c r="A838" s="24"/>
      <c r="B838" s="24"/>
    </row>
    <row r="839" spans="1:2" ht="13.5" customHeight="1" x14ac:dyDescent="0.2">
      <c r="A839" s="24"/>
      <c r="B839" s="24"/>
    </row>
    <row r="840" spans="1:2" ht="13.5" customHeight="1" x14ac:dyDescent="0.2">
      <c r="A840" s="24"/>
      <c r="B840" s="24"/>
    </row>
    <row r="841" spans="1:2" ht="13.5" customHeight="1" x14ac:dyDescent="0.2">
      <c r="A841" s="24"/>
      <c r="B841" s="24"/>
    </row>
    <row r="842" spans="1:2" ht="13.5" customHeight="1" x14ac:dyDescent="0.2">
      <c r="A842" s="24"/>
      <c r="B842" s="24"/>
    </row>
    <row r="843" spans="1:2" ht="13.5" customHeight="1" x14ac:dyDescent="0.2">
      <c r="A843" s="24"/>
      <c r="B843" s="24"/>
    </row>
    <row r="844" spans="1:2" ht="13.5" customHeight="1" x14ac:dyDescent="0.2">
      <c r="A844" s="24"/>
      <c r="B844" s="24"/>
    </row>
    <row r="845" spans="1:2" ht="13.5" customHeight="1" x14ac:dyDescent="0.2">
      <c r="A845" s="24"/>
      <c r="B845" s="24"/>
    </row>
    <row r="846" spans="1:2" ht="13.5" customHeight="1" x14ac:dyDescent="0.2">
      <c r="A846" s="24"/>
      <c r="B846" s="24"/>
    </row>
    <row r="847" spans="1:2" ht="13.5" customHeight="1" x14ac:dyDescent="0.2">
      <c r="A847" s="24"/>
      <c r="B847" s="24"/>
    </row>
    <row r="848" spans="1:2" ht="13.5" customHeight="1" x14ac:dyDescent="0.2">
      <c r="A848" s="24"/>
      <c r="B848" s="24"/>
    </row>
    <row r="849" spans="1:2" ht="13.5" customHeight="1" x14ac:dyDescent="0.2">
      <c r="A849" s="24"/>
      <c r="B849" s="24"/>
    </row>
    <row r="850" spans="1:2" ht="13.5" customHeight="1" x14ac:dyDescent="0.2">
      <c r="A850" s="24"/>
      <c r="B850" s="24"/>
    </row>
    <row r="851" spans="1:2" ht="13.5" customHeight="1" x14ac:dyDescent="0.2">
      <c r="A851" s="24"/>
      <c r="B851" s="24"/>
    </row>
    <row r="852" spans="1:2" ht="13.5" customHeight="1" x14ac:dyDescent="0.2">
      <c r="A852" s="24"/>
      <c r="B852" s="24"/>
    </row>
    <row r="853" spans="1:2" ht="13.5" customHeight="1" x14ac:dyDescent="0.2">
      <c r="A853" s="24"/>
      <c r="B853" s="24"/>
    </row>
    <row r="854" spans="1:2" ht="13.5" customHeight="1" x14ac:dyDescent="0.2">
      <c r="A854" s="24"/>
      <c r="B854" s="24"/>
    </row>
    <row r="855" spans="1:2" ht="13.5" customHeight="1" x14ac:dyDescent="0.2">
      <c r="A855" s="24"/>
      <c r="B855" s="24"/>
    </row>
    <row r="856" spans="1:2" ht="13.5" customHeight="1" x14ac:dyDescent="0.2">
      <c r="A856" s="24"/>
      <c r="B856" s="24"/>
    </row>
    <row r="857" spans="1:2" ht="13.5" customHeight="1" x14ac:dyDescent="0.2">
      <c r="A857" s="24"/>
      <c r="B857" s="24"/>
    </row>
    <row r="858" spans="1:2" ht="13.5" customHeight="1" x14ac:dyDescent="0.2">
      <c r="A858" s="24"/>
      <c r="B858" s="24"/>
    </row>
    <row r="859" spans="1:2" ht="13.5" customHeight="1" x14ac:dyDescent="0.2">
      <c r="A859" s="24"/>
      <c r="B859" s="24"/>
    </row>
    <row r="860" spans="1:2" ht="13.5" customHeight="1" x14ac:dyDescent="0.2">
      <c r="A860" s="24"/>
      <c r="B860" s="24"/>
    </row>
    <row r="861" spans="1:2" ht="13.5" customHeight="1" x14ac:dyDescent="0.2">
      <c r="A861" s="24"/>
      <c r="B861" s="24"/>
    </row>
    <row r="862" spans="1:2" ht="13.5" customHeight="1" x14ac:dyDescent="0.2">
      <c r="A862" s="24"/>
      <c r="B862" s="24"/>
    </row>
    <row r="863" spans="1:2" ht="13.5" customHeight="1" x14ac:dyDescent="0.2">
      <c r="A863" s="24"/>
      <c r="B863" s="24"/>
    </row>
    <row r="864" spans="1:2" ht="13.5" customHeight="1" x14ac:dyDescent="0.2">
      <c r="A864" s="24"/>
      <c r="B864" s="24"/>
    </row>
    <row r="865" spans="1:2" ht="13.5" customHeight="1" x14ac:dyDescent="0.2">
      <c r="A865" s="24"/>
      <c r="B865" s="24"/>
    </row>
    <row r="866" spans="1:2" ht="13.5" customHeight="1" x14ac:dyDescent="0.2">
      <c r="A866" s="24"/>
      <c r="B866" s="24"/>
    </row>
    <row r="867" spans="1:2" ht="13.5" customHeight="1" x14ac:dyDescent="0.2">
      <c r="A867" s="24"/>
      <c r="B867" s="24"/>
    </row>
    <row r="868" spans="1:2" ht="13.5" customHeight="1" x14ac:dyDescent="0.2">
      <c r="A868" s="24"/>
      <c r="B868" s="24"/>
    </row>
    <row r="869" spans="1:2" ht="13.5" customHeight="1" x14ac:dyDescent="0.2">
      <c r="A869" s="24"/>
      <c r="B869" s="24"/>
    </row>
    <row r="870" spans="1:2" ht="13.5" customHeight="1" x14ac:dyDescent="0.2">
      <c r="A870" s="24"/>
      <c r="B870" s="24"/>
    </row>
    <row r="871" spans="1:2" ht="13.5" customHeight="1" x14ac:dyDescent="0.2">
      <c r="A871" s="24"/>
      <c r="B871" s="24"/>
    </row>
    <row r="872" spans="1:2" ht="13.5" customHeight="1" x14ac:dyDescent="0.2">
      <c r="A872" s="24"/>
      <c r="B872" s="24"/>
    </row>
    <row r="873" spans="1:2" ht="13.5" customHeight="1" x14ac:dyDescent="0.2">
      <c r="A873" s="24"/>
      <c r="B873" s="24"/>
    </row>
    <row r="874" spans="1:2" ht="13.5" customHeight="1" x14ac:dyDescent="0.2">
      <c r="A874" s="24"/>
      <c r="B874" s="24"/>
    </row>
    <row r="875" spans="1:2" ht="13.5" customHeight="1" x14ac:dyDescent="0.2">
      <c r="A875" s="24"/>
      <c r="B875" s="24"/>
    </row>
    <row r="876" spans="1:2" ht="13.5" customHeight="1" x14ac:dyDescent="0.2">
      <c r="A876" s="24"/>
      <c r="B876" s="24"/>
    </row>
    <row r="877" spans="1:2" ht="13.5" customHeight="1" x14ac:dyDescent="0.2">
      <c r="A877" s="24"/>
      <c r="B877" s="24"/>
    </row>
    <row r="878" spans="1:2" ht="13.5" customHeight="1" x14ac:dyDescent="0.2">
      <c r="A878" s="24"/>
      <c r="B878" s="24"/>
    </row>
    <row r="879" spans="1:2" ht="13.5" customHeight="1" x14ac:dyDescent="0.2">
      <c r="A879" s="24"/>
      <c r="B879" s="24"/>
    </row>
    <row r="880" spans="1:2" ht="13.5" customHeight="1" x14ac:dyDescent="0.2">
      <c r="A880" s="24"/>
      <c r="B880" s="24"/>
    </row>
    <row r="881" spans="1:2" ht="13.5" customHeight="1" x14ac:dyDescent="0.2">
      <c r="A881" s="24"/>
      <c r="B881" s="24"/>
    </row>
    <row r="882" spans="1:2" ht="13.5" customHeight="1" x14ac:dyDescent="0.2">
      <c r="A882" s="24"/>
      <c r="B882" s="24"/>
    </row>
    <row r="883" spans="1:2" ht="13.5" customHeight="1" x14ac:dyDescent="0.2">
      <c r="A883" s="24"/>
      <c r="B883" s="24"/>
    </row>
    <row r="884" spans="1:2" ht="13.5" customHeight="1" x14ac:dyDescent="0.2">
      <c r="A884" s="24"/>
      <c r="B884" s="24"/>
    </row>
    <row r="885" spans="1:2" ht="13.5" customHeight="1" x14ac:dyDescent="0.2">
      <c r="A885" s="24"/>
      <c r="B885" s="24"/>
    </row>
    <row r="886" spans="1:2" ht="13.5" customHeight="1" x14ac:dyDescent="0.2">
      <c r="A886" s="24"/>
      <c r="B886" s="24"/>
    </row>
    <row r="887" spans="1:2" ht="13.5" customHeight="1" x14ac:dyDescent="0.2">
      <c r="A887" s="24"/>
      <c r="B887" s="24"/>
    </row>
    <row r="888" spans="1:2" ht="13.5" customHeight="1" x14ac:dyDescent="0.2">
      <c r="A888" s="24"/>
      <c r="B888" s="24"/>
    </row>
    <row r="889" spans="1:2" ht="13.5" customHeight="1" x14ac:dyDescent="0.2">
      <c r="A889" s="24"/>
      <c r="B889" s="24"/>
    </row>
    <row r="890" spans="1:2" ht="13.5" customHeight="1" x14ac:dyDescent="0.2">
      <c r="A890" s="24"/>
      <c r="B890" s="24"/>
    </row>
    <row r="891" spans="1:2" ht="13.5" customHeight="1" x14ac:dyDescent="0.2">
      <c r="A891" s="24"/>
      <c r="B891" s="24"/>
    </row>
    <row r="892" spans="1:2" ht="13.5" customHeight="1" x14ac:dyDescent="0.2">
      <c r="A892" s="24"/>
      <c r="B892" s="24"/>
    </row>
    <row r="893" spans="1:2" ht="13.5" customHeight="1" x14ac:dyDescent="0.2">
      <c r="A893" s="24"/>
      <c r="B893" s="24"/>
    </row>
    <row r="894" spans="1:2" ht="13.5" customHeight="1" x14ac:dyDescent="0.2">
      <c r="A894" s="24"/>
      <c r="B894" s="24"/>
    </row>
    <row r="895" spans="1:2" ht="13.5" customHeight="1" x14ac:dyDescent="0.2">
      <c r="A895" s="24"/>
      <c r="B895" s="24"/>
    </row>
    <row r="896" spans="1:2" ht="13.5" customHeight="1" x14ac:dyDescent="0.2">
      <c r="A896" s="24"/>
      <c r="B896" s="24"/>
    </row>
    <row r="897" spans="1:2" ht="13.5" customHeight="1" x14ac:dyDescent="0.2">
      <c r="A897" s="24"/>
      <c r="B897" s="24"/>
    </row>
    <row r="898" spans="1:2" ht="13.5" customHeight="1" x14ac:dyDescent="0.2">
      <c r="A898" s="24"/>
      <c r="B898" s="24"/>
    </row>
    <row r="899" spans="1:2" ht="13.5" customHeight="1" x14ac:dyDescent="0.2">
      <c r="A899" s="24"/>
      <c r="B899" s="24"/>
    </row>
    <row r="900" spans="1:2" ht="13.5" customHeight="1" x14ac:dyDescent="0.2">
      <c r="A900" s="24"/>
      <c r="B900" s="24"/>
    </row>
    <row r="901" spans="1:2" ht="13.5" customHeight="1" x14ac:dyDescent="0.2">
      <c r="A901" s="24"/>
      <c r="B901" s="24"/>
    </row>
    <row r="902" spans="1:2" ht="13.5" customHeight="1" x14ac:dyDescent="0.2">
      <c r="A902" s="24"/>
      <c r="B902" s="24"/>
    </row>
    <row r="903" spans="1:2" ht="13.5" customHeight="1" x14ac:dyDescent="0.2">
      <c r="A903" s="24"/>
      <c r="B903" s="24"/>
    </row>
    <row r="904" spans="1:2" ht="13.5" customHeight="1" x14ac:dyDescent="0.2">
      <c r="A904" s="24"/>
      <c r="B904" s="24"/>
    </row>
    <row r="905" spans="1:2" ht="13.5" customHeight="1" x14ac:dyDescent="0.2">
      <c r="A905" s="24"/>
      <c r="B905" s="24"/>
    </row>
    <row r="906" spans="1:2" ht="13.5" customHeight="1" x14ac:dyDescent="0.2">
      <c r="A906" s="24"/>
      <c r="B906" s="24"/>
    </row>
    <row r="907" spans="1:2" ht="13.5" customHeight="1" x14ac:dyDescent="0.2">
      <c r="A907" s="24"/>
      <c r="B907" s="24"/>
    </row>
    <row r="908" spans="1:2" ht="13.5" customHeight="1" x14ac:dyDescent="0.2">
      <c r="A908" s="24"/>
      <c r="B908" s="24"/>
    </row>
    <row r="909" spans="1:2" ht="13.5" customHeight="1" x14ac:dyDescent="0.2">
      <c r="A909" s="24"/>
      <c r="B909" s="24"/>
    </row>
    <row r="910" spans="1:2" ht="13.5" customHeight="1" x14ac:dyDescent="0.2">
      <c r="A910" s="24"/>
      <c r="B910" s="24"/>
    </row>
    <row r="911" spans="1:2" ht="13.5" customHeight="1" x14ac:dyDescent="0.2">
      <c r="A911" s="24"/>
      <c r="B911" s="24"/>
    </row>
    <row r="912" spans="1:2" ht="13.5" customHeight="1" x14ac:dyDescent="0.2">
      <c r="A912" s="24"/>
      <c r="B912" s="24"/>
    </row>
    <row r="913" spans="1:2" ht="13.5" customHeight="1" x14ac:dyDescent="0.2">
      <c r="A913" s="24"/>
      <c r="B913" s="24"/>
    </row>
    <row r="914" spans="1:2" ht="13.5" customHeight="1" x14ac:dyDescent="0.2">
      <c r="A914" s="24"/>
      <c r="B914" s="24"/>
    </row>
    <row r="915" spans="1:2" ht="13.5" customHeight="1" x14ac:dyDescent="0.2">
      <c r="A915" s="24"/>
      <c r="B915" s="24"/>
    </row>
    <row r="916" spans="1:2" ht="13.5" customHeight="1" x14ac:dyDescent="0.2">
      <c r="A916" s="24"/>
      <c r="B916" s="24"/>
    </row>
    <row r="917" spans="1:2" ht="13.5" customHeight="1" x14ac:dyDescent="0.2">
      <c r="A917" s="24"/>
      <c r="B917" s="24"/>
    </row>
    <row r="918" spans="1:2" ht="13.5" customHeight="1" x14ac:dyDescent="0.2">
      <c r="A918" s="24"/>
      <c r="B918" s="24"/>
    </row>
    <row r="919" spans="1:2" ht="13.5" customHeight="1" x14ac:dyDescent="0.2">
      <c r="A919" s="24"/>
      <c r="B919" s="24"/>
    </row>
    <row r="920" spans="1:2" ht="13.5" customHeight="1" x14ac:dyDescent="0.2">
      <c r="A920" s="24"/>
      <c r="B920" s="24"/>
    </row>
    <row r="921" spans="1:2" ht="13.5" customHeight="1" x14ac:dyDescent="0.2">
      <c r="A921" s="24"/>
      <c r="B921" s="24"/>
    </row>
    <row r="922" spans="1:2" ht="13.5" customHeight="1" x14ac:dyDescent="0.2">
      <c r="A922" s="24"/>
      <c r="B922" s="24"/>
    </row>
    <row r="923" spans="1:2" ht="13.5" customHeight="1" x14ac:dyDescent="0.2">
      <c r="A923" s="24"/>
      <c r="B923" s="24"/>
    </row>
    <row r="924" spans="1:2" ht="13.5" customHeight="1" x14ac:dyDescent="0.2">
      <c r="A924" s="24"/>
      <c r="B924" s="24"/>
    </row>
    <row r="925" spans="1:2" ht="13.5" customHeight="1" x14ac:dyDescent="0.2">
      <c r="A925" s="24"/>
      <c r="B925" s="24"/>
    </row>
    <row r="926" spans="1:2" ht="13.5" customHeight="1" x14ac:dyDescent="0.2">
      <c r="A926" s="24"/>
      <c r="B926" s="24"/>
    </row>
    <row r="927" spans="1:2" ht="13.5" customHeight="1" x14ac:dyDescent="0.2">
      <c r="A927" s="24"/>
      <c r="B927" s="24"/>
    </row>
    <row r="928" spans="1:2" ht="13.5" customHeight="1" x14ac:dyDescent="0.2">
      <c r="A928" s="24"/>
      <c r="B928" s="24"/>
    </row>
    <row r="929" spans="1:2" ht="13.5" customHeight="1" x14ac:dyDescent="0.2">
      <c r="A929" s="24"/>
      <c r="B929" s="24"/>
    </row>
    <row r="930" spans="1:2" ht="13.5" customHeight="1" x14ac:dyDescent="0.2">
      <c r="A930" s="24"/>
      <c r="B930" s="24"/>
    </row>
    <row r="931" spans="1:2" ht="13.5" customHeight="1" x14ac:dyDescent="0.2">
      <c r="A931" s="24"/>
      <c r="B931" s="24"/>
    </row>
    <row r="932" spans="1:2" ht="13.5" customHeight="1" x14ac:dyDescent="0.2">
      <c r="A932" s="24"/>
      <c r="B932" s="24"/>
    </row>
    <row r="933" spans="1:2" ht="13.5" customHeight="1" x14ac:dyDescent="0.2">
      <c r="A933" s="24"/>
      <c r="B933" s="24"/>
    </row>
    <row r="934" spans="1:2" ht="13.5" customHeight="1" x14ac:dyDescent="0.2">
      <c r="A934" s="24"/>
      <c r="B934" s="24"/>
    </row>
    <row r="935" spans="1:2" ht="13.5" customHeight="1" x14ac:dyDescent="0.2">
      <c r="A935" s="24"/>
      <c r="B935" s="24"/>
    </row>
    <row r="936" spans="1:2" ht="13.5" customHeight="1" x14ac:dyDescent="0.2">
      <c r="A936" s="24"/>
      <c r="B936" s="24"/>
    </row>
    <row r="937" spans="1:2" ht="13.5" customHeight="1" x14ac:dyDescent="0.2">
      <c r="A937" s="24"/>
      <c r="B937" s="24"/>
    </row>
    <row r="938" spans="1:2" ht="13.5" customHeight="1" x14ac:dyDescent="0.2">
      <c r="A938" s="24"/>
      <c r="B938" s="24"/>
    </row>
    <row r="939" spans="1:2" ht="13.5" customHeight="1" x14ac:dyDescent="0.2">
      <c r="A939" s="24"/>
      <c r="B939" s="24"/>
    </row>
    <row r="940" spans="1:2" ht="13.5" customHeight="1" x14ac:dyDescent="0.2">
      <c r="A940" s="24"/>
      <c r="B940" s="24"/>
    </row>
    <row r="941" spans="1:2" ht="13.5" customHeight="1" x14ac:dyDescent="0.2">
      <c r="A941" s="24"/>
      <c r="B941" s="24"/>
    </row>
    <row r="942" spans="1:2" ht="13.5" customHeight="1" x14ac:dyDescent="0.2">
      <c r="A942" s="24"/>
      <c r="B942" s="24"/>
    </row>
    <row r="943" spans="1:2" ht="13.5" customHeight="1" x14ac:dyDescent="0.2">
      <c r="A943" s="24"/>
      <c r="B943" s="24"/>
    </row>
    <row r="944" spans="1:2" ht="13.5" customHeight="1" x14ac:dyDescent="0.2">
      <c r="A944" s="24"/>
      <c r="B944" s="24"/>
    </row>
    <row r="945" spans="1:2" ht="13.5" customHeight="1" x14ac:dyDescent="0.2">
      <c r="A945" s="24"/>
      <c r="B945" s="24"/>
    </row>
    <row r="946" spans="1:2" ht="13.5" customHeight="1" x14ac:dyDescent="0.2">
      <c r="A946" s="24"/>
      <c r="B946" s="24"/>
    </row>
    <row r="947" spans="1:2" ht="13.5" customHeight="1" x14ac:dyDescent="0.2">
      <c r="A947" s="24"/>
      <c r="B947" s="24"/>
    </row>
    <row r="948" spans="1:2" ht="13.5" customHeight="1" x14ac:dyDescent="0.2">
      <c r="A948" s="24"/>
      <c r="B948" s="24"/>
    </row>
    <row r="949" spans="1:2" ht="13.5" customHeight="1" x14ac:dyDescent="0.2">
      <c r="A949" s="24"/>
      <c r="B949" s="24"/>
    </row>
    <row r="950" spans="1:2" ht="13.5" customHeight="1" x14ac:dyDescent="0.2">
      <c r="A950" s="24"/>
      <c r="B950" s="24"/>
    </row>
    <row r="951" spans="1:2" ht="13.5" customHeight="1" x14ac:dyDescent="0.2">
      <c r="A951" s="24"/>
      <c r="B951" s="24"/>
    </row>
    <row r="952" spans="1:2" ht="13.5" customHeight="1" x14ac:dyDescent="0.2">
      <c r="A952" s="24"/>
      <c r="B952" s="24"/>
    </row>
    <row r="953" spans="1:2" ht="13.5" customHeight="1" x14ac:dyDescent="0.2">
      <c r="A953" s="24"/>
      <c r="B953" s="24"/>
    </row>
    <row r="954" spans="1:2" ht="13.5" customHeight="1" x14ac:dyDescent="0.2">
      <c r="A954" s="24"/>
      <c r="B954" s="24"/>
    </row>
    <row r="955" spans="1:2" ht="13.5" customHeight="1" x14ac:dyDescent="0.2">
      <c r="A955" s="24"/>
      <c r="B955" s="24"/>
    </row>
    <row r="956" spans="1:2" ht="13.5" customHeight="1" x14ac:dyDescent="0.2">
      <c r="A956" s="24"/>
      <c r="B956" s="24"/>
    </row>
    <row r="957" spans="1:2" ht="13.5" customHeight="1" x14ac:dyDescent="0.2">
      <c r="A957" s="24"/>
      <c r="B957" s="24"/>
    </row>
    <row r="958" spans="1:2" ht="13.5" customHeight="1" x14ac:dyDescent="0.2">
      <c r="A958" s="24"/>
      <c r="B958" s="24"/>
    </row>
    <row r="959" spans="1:2" ht="13.5" customHeight="1" x14ac:dyDescent="0.2">
      <c r="A959" s="24"/>
      <c r="B959" s="24"/>
    </row>
    <row r="960" spans="1:2" ht="13.5" customHeight="1" x14ac:dyDescent="0.2">
      <c r="A960" s="24"/>
      <c r="B960" s="24"/>
    </row>
    <row r="961" spans="1:2" ht="13.5" customHeight="1" x14ac:dyDescent="0.2">
      <c r="A961" s="24"/>
      <c r="B961" s="24"/>
    </row>
    <row r="962" spans="1:2" ht="13.5" customHeight="1" x14ac:dyDescent="0.2">
      <c r="A962" s="24"/>
      <c r="B962" s="24"/>
    </row>
    <row r="963" spans="1:2" ht="13.5" customHeight="1" x14ac:dyDescent="0.2">
      <c r="A963" s="24"/>
      <c r="B963" s="24"/>
    </row>
    <row r="964" spans="1:2" ht="13.5" customHeight="1" x14ac:dyDescent="0.2">
      <c r="A964" s="24"/>
      <c r="B964" s="24"/>
    </row>
    <row r="965" spans="1:2" ht="13.5" customHeight="1" x14ac:dyDescent="0.2">
      <c r="A965" s="24"/>
      <c r="B965" s="24"/>
    </row>
    <row r="966" spans="1:2" ht="13.5" customHeight="1" x14ac:dyDescent="0.2">
      <c r="A966" s="24"/>
      <c r="B966" s="24"/>
    </row>
    <row r="967" spans="1:2" ht="13.5" customHeight="1" x14ac:dyDescent="0.2">
      <c r="A967" s="24"/>
      <c r="B967" s="24"/>
    </row>
    <row r="968" spans="1:2" ht="13.5" customHeight="1" x14ac:dyDescent="0.2">
      <c r="A968" s="24"/>
      <c r="B968" s="24"/>
    </row>
    <row r="969" spans="1:2" ht="13.5" customHeight="1" x14ac:dyDescent="0.2">
      <c r="A969" s="24"/>
      <c r="B969" s="24"/>
    </row>
    <row r="970" spans="1:2" ht="13.5" customHeight="1" x14ac:dyDescent="0.2">
      <c r="A970" s="24"/>
      <c r="B970" s="24"/>
    </row>
    <row r="971" spans="1:2" ht="13.5" customHeight="1" x14ac:dyDescent="0.2">
      <c r="A971" s="24"/>
      <c r="B971" s="24"/>
    </row>
    <row r="972" spans="1:2" ht="13.5" customHeight="1" x14ac:dyDescent="0.2">
      <c r="A972" s="24"/>
      <c r="B972" s="24"/>
    </row>
    <row r="973" spans="1:2" ht="13.5" customHeight="1" x14ac:dyDescent="0.2">
      <c r="A973" s="24"/>
      <c r="B973" s="24"/>
    </row>
    <row r="974" spans="1:2" ht="13.5" customHeight="1" x14ac:dyDescent="0.2">
      <c r="A974" s="24"/>
      <c r="B974" s="24"/>
    </row>
    <row r="975" spans="1:2" ht="13.5" customHeight="1" x14ac:dyDescent="0.2">
      <c r="A975" s="24"/>
      <c r="B975" s="24"/>
    </row>
    <row r="976" spans="1:2" ht="13.5" customHeight="1" x14ac:dyDescent="0.2">
      <c r="A976" s="24"/>
      <c r="B976" s="24"/>
    </row>
    <row r="977" spans="1:2" ht="13.5" customHeight="1" x14ac:dyDescent="0.2">
      <c r="A977" s="24"/>
      <c r="B977" s="24"/>
    </row>
    <row r="978" spans="1:2" ht="13.5" customHeight="1" x14ac:dyDescent="0.2">
      <c r="A978" s="24"/>
      <c r="B978" s="24"/>
    </row>
    <row r="979" spans="1:2" ht="13.5" customHeight="1" x14ac:dyDescent="0.2">
      <c r="A979" s="24"/>
      <c r="B979" s="24"/>
    </row>
    <row r="980" spans="1:2" ht="13.5" customHeight="1" x14ac:dyDescent="0.2">
      <c r="A980" s="24"/>
      <c r="B980" s="24"/>
    </row>
    <row r="981" spans="1:2" ht="13.5" customHeight="1" x14ac:dyDescent="0.2">
      <c r="A981" s="24"/>
      <c r="B981" s="24"/>
    </row>
    <row r="982" spans="1:2" ht="13.5" customHeight="1" x14ac:dyDescent="0.2">
      <c r="A982" s="24"/>
      <c r="B982" s="24"/>
    </row>
    <row r="983" spans="1:2" ht="13.5" customHeight="1" x14ac:dyDescent="0.2">
      <c r="A983" s="24"/>
      <c r="B983" s="24"/>
    </row>
    <row r="984" spans="1:2" ht="13.5" customHeight="1" x14ac:dyDescent="0.2">
      <c r="A984" s="24"/>
      <c r="B984" s="24"/>
    </row>
    <row r="985" spans="1:2" ht="13.5" customHeight="1" x14ac:dyDescent="0.2">
      <c r="A985" s="24"/>
      <c r="B985" s="24"/>
    </row>
    <row r="986" spans="1:2" ht="13.5" customHeight="1" x14ac:dyDescent="0.2">
      <c r="A986" s="24"/>
      <c r="B986" s="24"/>
    </row>
    <row r="987" spans="1:2" ht="13.5" customHeight="1" x14ac:dyDescent="0.2">
      <c r="A987" s="24"/>
      <c r="B987" s="24"/>
    </row>
    <row r="988" spans="1:2" ht="13.5" customHeight="1" x14ac:dyDescent="0.2">
      <c r="A988" s="24"/>
      <c r="B988" s="24"/>
    </row>
    <row r="989" spans="1:2" ht="13.5" customHeight="1" x14ac:dyDescent="0.2">
      <c r="A989" s="24"/>
      <c r="B989" s="24"/>
    </row>
    <row r="990" spans="1:2" ht="13.5" customHeight="1" x14ac:dyDescent="0.2">
      <c r="A990" s="24"/>
      <c r="B990" s="24"/>
    </row>
    <row r="991" spans="1:2" ht="13.5" customHeight="1" x14ac:dyDescent="0.2">
      <c r="A991" s="24"/>
      <c r="B991" s="24"/>
    </row>
    <row r="992" spans="1:2" ht="13.5" customHeight="1" x14ac:dyDescent="0.2">
      <c r="A992" s="24"/>
      <c r="B992" s="24"/>
    </row>
    <row r="993" spans="1:2" ht="13.5" customHeight="1" x14ac:dyDescent="0.2">
      <c r="A993" s="24"/>
      <c r="B993" s="24"/>
    </row>
    <row r="994" spans="1:2" ht="13.5" customHeight="1" x14ac:dyDescent="0.2">
      <c r="A994" s="24"/>
      <c r="B994" s="24"/>
    </row>
    <row r="995" spans="1:2" ht="13.5" customHeight="1" x14ac:dyDescent="0.2">
      <c r="A995" s="24"/>
      <c r="B995" s="24"/>
    </row>
    <row r="996" spans="1:2" ht="13.5" customHeight="1" x14ac:dyDescent="0.2">
      <c r="A996" s="24"/>
      <c r="B996" s="24"/>
    </row>
    <row r="997" spans="1:2" ht="13.5" customHeight="1" x14ac:dyDescent="0.2">
      <c r="A997" s="24"/>
      <c r="B997" s="24"/>
    </row>
    <row r="998" spans="1:2" ht="13.5" customHeight="1" x14ac:dyDescent="0.2">
      <c r="A998" s="24"/>
      <c r="B998" s="24"/>
    </row>
    <row r="999" spans="1:2" ht="13.5" customHeight="1" x14ac:dyDescent="0.2">
      <c r="A999" s="24"/>
      <c r="B999" s="24"/>
    </row>
    <row r="1000" spans="1:2" ht="13.5" customHeight="1" x14ac:dyDescent="0.2">
      <c r="A1000" s="24"/>
      <c r="B1000" s="24"/>
    </row>
    <row r="1001" spans="1:2" ht="13.5" customHeight="1" x14ac:dyDescent="0.2">
      <c r="A1001" s="24"/>
      <c r="B1001" s="24"/>
    </row>
    <row r="1002" spans="1:2" ht="13.5" customHeight="1" x14ac:dyDescent="0.2">
      <c r="A1002" s="24"/>
      <c r="B1002" s="24"/>
    </row>
    <row r="1003" spans="1:2" ht="13.5" customHeight="1" x14ac:dyDescent="0.2">
      <c r="A1003" s="24"/>
      <c r="B1003" s="24"/>
    </row>
    <row r="1004" spans="1:2" ht="13.5" customHeight="1" x14ac:dyDescent="0.2">
      <c r="A1004" s="24"/>
      <c r="B1004" s="24"/>
    </row>
    <row r="1005" spans="1:2" ht="13.5" customHeight="1" x14ac:dyDescent="0.2">
      <c r="A1005" s="24"/>
      <c r="B1005" s="24"/>
    </row>
    <row r="1006" spans="1:2" ht="13.5" customHeight="1" x14ac:dyDescent="0.2">
      <c r="A1006" s="24"/>
      <c r="B1006" s="24"/>
    </row>
    <row r="1007" spans="1:2" ht="13.5" customHeight="1" x14ac:dyDescent="0.2">
      <c r="A1007" s="24"/>
      <c r="B1007" s="24"/>
    </row>
    <row r="1008" spans="1:2" ht="13.5" customHeight="1" x14ac:dyDescent="0.2">
      <c r="A1008" s="24"/>
      <c r="B1008" s="24"/>
    </row>
    <row r="1009" spans="1:2" ht="13.5" customHeight="1" x14ac:dyDescent="0.2">
      <c r="A1009" s="24"/>
      <c r="B1009" s="24"/>
    </row>
    <row r="1010" spans="1:2" ht="13.5" customHeight="1" x14ac:dyDescent="0.2">
      <c r="A1010" s="24"/>
      <c r="B1010" s="24"/>
    </row>
    <row r="1011" spans="1:2" ht="13.5" customHeight="1" x14ac:dyDescent="0.2">
      <c r="A1011" s="24"/>
      <c r="B1011" s="24"/>
    </row>
    <row r="1012" spans="1:2" ht="13.5" customHeight="1" x14ac:dyDescent="0.2">
      <c r="A1012" s="24"/>
      <c r="B1012" s="24"/>
    </row>
    <row r="1013" spans="1:2" ht="13.5" customHeight="1" x14ac:dyDescent="0.2">
      <c r="A1013" s="24"/>
      <c r="B1013" s="24"/>
    </row>
    <row r="1014" spans="1:2" ht="13.5" customHeight="1" x14ac:dyDescent="0.2">
      <c r="A1014" s="24"/>
      <c r="B1014" s="24"/>
    </row>
    <row r="1015" spans="1:2" ht="13.5" customHeight="1" x14ac:dyDescent="0.2">
      <c r="A1015" s="24"/>
      <c r="B1015" s="24"/>
    </row>
    <row r="1016" spans="1:2" ht="13.5" customHeight="1" x14ac:dyDescent="0.2">
      <c r="A1016" s="24"/>
      <c r="B1016" s="24"/>
    </row>
    <row r="1017" spans="1:2" ht="13.5" customHeight="1" x14ac:dyDescent="0.2">
      <c r="A1017" s="24"/>
      <c r="B1017" s="24"/>
    </row>
    <row r="1018" spans="1:2" ht="13.5" customHeight="1" x14ac:dyDescent="0.2">
      <c r="A1018" s="24"/>
      <c r="B1018" s="24"/>
    </row>
    <row r="1019" spans="1:2" ht="13.5" customHeight="1" x14ac:dyDescent="0.2">
      <c r="A1019" s="24"/>
      <c r="B1019" s="24"/>
    </row>
    <row r="1020" spans="1:2" ht="13.5" customHeight="1" x14ac:dyDescent="0.2">
      <c r="A1020" s="24"/>
      <c r="B1020" s="24"/>
    </row>
    <row r="1021" spans="1:2" ht="13.5" customHeight="1" x14ac:dyDescent="0.2">
      <c r="A1021" s="24"/>
      <c r="B1021" s="24"/>
    </row>
    <row r="1022" spans="1:2" ht="13.5" customHeight="1" x14ac:dyDescent="0.2">
      <c r="A1022" s="24"/>
      <c r="B1022" s="24"/>
    </row>
    <row r="1023" spans="1:2" ht="13.5" customHeight="1" x14ac:dyDescent="0.2">
      <c r="A1023" s="24"/>
      <c r="B1023" s="24"/>
    </row>
    <row r="1024" spans="1:2" ht="13.5" customHeight="1" x14ac:dyDescent="0.2">
      <c r="A1024" s="24"/>
      <c r="B1024" s="24"/>
    </row>
    <row r="1025" spans="1:2" ht="13.5" customHeight="1" x14ac:dyDescent="0.2">
      <c r="A1025" s="24"/>
      <c r="B1025" s="24"/>
    </row>
    <row r="1026" spans="1:2" ht="13.5" customHeight="1" x14ac:dyDescent="0.2">
      <c r="A1026" s="24"/>
      <c r="B1026" s="24"/>
    </row>
    <row r="1027" spans="1:2" ht="13.5" customHeight="1" x14ac:dyDescent="0.2">
      <c r="A1027" s="24"/>
      <c r="B1027" s="24"/>
    </row>
    <row r="1028" spans="1:2" ht="13.5" customHeight="1" x14ac:dyDescent="0.2">
      <c r="A1028" s="24"/>
      <c r="B1028" s="24"/>
    </row>
    <row r="1029" spans="1:2" ht="13.5" customHeight="1" x14ac:dyDescent="0.2">
      <c r="A1029" s="24"/>
      <c r="B1029" s="24"/>
    </row>
    <row r="1030" spans="1:2" ht="13.5" customHeight="1" x14ac:dyDescent="0.2">
      <c r="A1030" s="24"/>
      <c r="B1030" s="24"/>
    </row>
    <row r="1031" spans="1:2" ht="13.5" customHeight="1" x14ac:dyDescent="0.2">
      <c r="A1031" s="24"/>
      <c r="B1031" s="24"/>
    </row>
    <row r="1032" spans="1:2" ht="13.5" customHeight="1" x14ac:dyDescent="0.2">
      <c r="A1032" s="24"/>
      <c r="B1032" s="24"/>
    </row>
    <row r="1033" spans="1:2" ht="13.5" customHeight="1" x14ac:dyDescent="0.2">
      <c r="A1033" s="24"/>
      <c r="B1033" s="24"/>
    </row>
    <row r="1034" spans="1:2" ht="13.5" customHeight="1" x14ac:dyDescent="0.2">
      <c r="A1034" s="24"/>
      <c r="B1034" s="24"/>
    </row>
    <row r="1035" spans="1:2" ht="13.5" customHeight="1" x14ac:dyDescent="0.2">
      <c r="A1035" s="24"/>
      <c r="B1035" s="24"/>
    </row>
    <row r="1036" spans="1:2" ht="13.5" customHeight="1" x14ac:dyDescent="0.2">
      <c r="A1036" s="24"/>
      <c r="B1036" s="24"/>
    </row>
    <row r="1037" spans="1:2" ht="13.5" customHeight="1" x14ac:dyDescent="0.2">
      <c r="A1037" s="24"/>
      <c r="B1037" s="24"/>
    </row>
    <row r="1038" spans="1:2" ht="13.5" customHeight="1" x14ac:dyDescent="0.2">
      <c r="A1038" s="24"/>
      <c r="B1038" s="24"/>
    </row>
    <row r="1039" spans="1:2" ht="13.5" customHeight="1" x14ac:dyDescent="0.2">
      <c r="A1039" s="24"/>
      <c r="B1039" s="24"/>
    </row>
    <row r="1040" spans="1:2" ht="13.5" customHeight="1" x14ac:dyDescent="0.2">
      <c r="A1040" s="24"/>
      <c r="B1040" s="24"/>
    </row>
    <row r="1041" spans="1:2" ht="13.5" customHeight="1" x14ac:dyDescent="0.2">
      <c r="A1041" s="24"/>
      <c r="B1041" s="24"/>
    </row>
    <row r="1042" spans="1:2" ht="13.5" customHeight="1" x14ac:dyDescent="0.2">
      <c r="A1042" s="24"/>
      <c r="B1042" s="24"/>
    </row>
    <row r="1043" spans="1:2" ht="13.5" customHeight="1" x14ac:dyDescent="0.2">
      <c r="A1043" s="24"/>
      <c r="B1043" s="24"/>
    </row>
    <row r="1044" spans="1:2" ht="13.5" customHeight="1" x14ac:dyDescent="0.2">
      <c r="A1044" s="24"/>
      <c r="B1044" s="24"/>
    </row>
    <row r="1045" spans="1:2" ht="13.5" customHeight="1" x14ac:dyDescent="0.2">
      <c r="A1045" s="24"/>
      <c r="B1045" s="24"/>
    </row>
    <row r="1046" spans="1:2" ht="13.5" customHeight="1" x14ac:dyDescent="0.2">
      <c r="A1046" s="24"/>
      <c r="B1046" s="24"/>
    </row>
    <row r="1047" spans="1:2" ht="13.5" customHeight="1" x14ac:dyDescent="0.2">
      <c r="A1047" s="24"/>
      <c r="B1047" s="24"/>
    </row>
    <row r="1048" spans="1:2" ht="13.5" customHeight="1" x14ac:dyDescent="0.2">
      <c r="A1048" s="24"/>
      <c r="B1048" s="24"/>
    </row>
    <row r="1049" spans="1:2" ht="13.5" customHeight="1" x14ac:dyDescent="0.2">
      <c r="A1049" s="24"/>
      <c r="B1049" s="24"/>
    </row>
    <row r="1050" spans="1:2" ht="13.5" customHeight="1" x14ac:dyDescent="0.2">
      <c r="A1050" s="24"/>
      <c r="B1050" s="24"/>
    </row>
    <row r="1051" spans="1:2" ht="13.5" customHeight="1" x14ac:dyDescent="0.2">
      <c r="A1051" s="24"/>
      <c r="B1051" s="24"/>
    </row>
  </sheetData>
  <mergeCells count="78">
    <mergeCell ref="A1:E1"/>
    <mergeCell ref="A11:E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A23:E23"/>
    <mergeCell ref="C24:D24"/>
    <mergeCell ref="C25:D25"/>
    <mergeCell ref="C26:D26"/>
    <mergeCell ref="C27:D27"/>
    <mergeCell ref="C28:D28"/>
    <mergeCell ref="C29:D29"/>
    <mergeCell ref="A32:E32"/>
    <mergeCell ref="C33:D33"/>
    <mergeCell ref="C34:D34"/>
    <mergeCell ref="C35:D35"/>
    <mergeCell ref="C36:D36"/>
    <mergeCell ref="C37:D37"/>
    <mergeCell ref="C38:D38"/>
    <mergeCell ref="A41:C41"/>
    <mergeCell ref="A43:C43"/>
    <mergeCell ref="A48:C49"/>
    <mergeCell ref="A55:C55"/>
    <mergeCell ref="A59:C59"/>
    <mergeCell ref="A62:C62"/>
    <mergeCell ref="A65:C65"/>
    <mergeCell ref="A73:C73"/>
    <mergeCell ref="A80:E80"/>
    <mergeCell ref="A81:B81"/>
    <mergeCell ref="C81:D81"/>
    <mergeCell ref="A82:B82"/>
    <mergeCell ref="C82:D82"/>
    <mergeCell ref="A83:B9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A93:B93"/>
    <mergeCell ref="C93:D93"/>
    <mergeCell ref="C94:D94"/>
    <mergeCell ref="A96:E96"/>
    <mergeCell ref="A97:B97"/>
    <mergeCell ref="C97:D97"/>
    <mergeCell ref="A98:B98"/>
    <mergeCell ref="C98:D98"/>
    <mergeCell ref="A99:B103"/>
    <mergeCell ref="C99:D99"/>
    <mergeCell ref="C100:D100"/>
    <mergeCell ref="C101:D101"/>
    <mergeCell ref="C102:D102"/>
    <mergeCell ref="C103:D103"/>
    <mergeCell ref="A104:B104"/>
    <mergeCell ref="C104:D104"/>
    <mergeCell ref="C105:D105"/>
    <mergeCell ref="A108:E108"/>
    <mergeCell ref="A109:B109"/>
    <mergeCell ref="C109:D109"/>
    <mergeCell ref="A114:B114"/>
    <mergeCell ref="C114:D114"/>
    <mergeCell ref="C115:D115"/>
    <mergeCell ref="A110:B110"/>
    <mergeCell ref="C110:D110"/>
    <mergeCell ref="A111:B113"/>
    <mergeCell ref="C111:D111"/>
    <mergeCell ref="C112:D112"/>
    <mergeCell ref="C113:D113"/>
  </mergeCells>
  <conditionalFormatting sqref="C8:C9 E82">
    <cfRule type="cellIs" dxfId="11" priority="2" operator="greaterThanOrEqual">
      <formula>0</formula>
    </cfRule>
    <cfRule type="cellIs" dxfId="10" priority="3" operator="lessThan">
      <formula>0</formula>
    </cfRule>
  </conditionalFormatting>
  <conditionalFormatting sqref="E94 E98 E105 E110 E115">
    <cfRule type="cellIs" dxfId="9" priority="4" operator="greaterThanOrEqual">
      <formula>0</formula>
    </cfRule>
    <cfRule type="cellIs" dxfId="8" priority="5" operator="lessThan">
      <formula>0</formula>
    </cfRule>
  </conditionalFormatting>
  <pageMargins left="0.75" right="0.75" top="0.33958333333333302" bottom="1" header="0.511811023622047" footer="0.511811023622047"/>
  <pageSetup paperSize="9" scale="6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38"/>
  <sheetViews>
    <sheetView topLeftCell="A76" zoomScale="150" zoomScaleNormal="130" workbookViewId="0">
      <selection activeCell="C78" sqref="C78:D78"/>
    </sheetView>
  </sheetViews>
  <sheetFormatPr baseColWidth="10" defaultColWidth="14.33203125" defaultRowHeight="14.25" customHeight="1" x14ac:dyDescent="0.2"/>
  <cols>
    <col min="1" max="1" width="21.5" customWidth="1"/>
    <col min="2" max="2" width="28" customWidth="1"/>
    <col min="3" max="3" width="41.83203125" customWidth="1"/>
    <col min="4" max="4" width="29.5" customWidth="1"/>
    <col min="5" max="5" width="22" customWidth="1"/>
    <col min="6" max="7" width="9" customWidth="1"/>
    <col min="8" max="8" width="24.5" customWidth="1"/>
    <col min="9" max="9" width="19.5" customWidth="1"/>
    <col min="10" max="25" width="9" customWidth="1"/>
  </cols>
  <sheetData>
    <row r="1" spans="1:25" ht="19.5" customHeight="1" x14ac:dyDescent="0.2">
      <c r="A1" s="97" t="s">
        <v>172</v>
      </c>
      <c r="B1" s="97"/>
      <c r="C1" s="97"/>
      <c r="D1" s="97"/>
      <c r="E1" s="97"/>
      <c r="F1" s="5"/>
      <c r="G1" s="5"/>
      <c r="H1" s="5"/>
      <c r="I1" s="5"/>
    </row>
    <row r="2" spans="1:25" ht="13.5" customHeight="1" x14ac:dyDescent="0.2">
      <c r="A2" s="6"/>
      <c r="B2" s="6"/>
      <c r="C2" s="7"/>
      <c r="D2" s="7"/>
      <c r="E2" s="7"/>
    </row>
    <row r="3" spans="1:25" ht="78" customHeight="1" x14ac:dyDescent="0.2">
      <c r="A3" s="8" t="s">
        <v>0</v>
      </c>
      <c r="B3" s="57" t="s">
        <v>169</v>
      </c>
      <c r="C3" s="9">
        <f>'April 2026 - June 2026'!C3</f>
        <v>41.51</v>
      </c>
      <c r="D3" s="10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35.25" customHeight="1" x14ac:dyDescent="0.2">
      <c r="A4" s="8"/>
      <c r="B4" s="8" t="s">
        <v>1</v>
      </c>
      <c r="C4" s="9">
        <f>'April 2026 - June 2026'!C4</f>
        <v>724.7</v>
      </c>
      <c r="D4" s="10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61" customHeight="1" x14ac:dyDescent="0.2">
      <c r="A5" s="8"/>
      <c r="B5" s="8" t="s">
        <v>170</v>
      </c>
      <c r="C5" s="9">
        <f>'April 2026 - June 2026'!C5</f>
        <v>0</v>
      </c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35.25" customHeight="1" x14ac:dyDescent="0.2">
      <c r="A6" s="8"/>
      <c r="B6" s="8" t="s">
        <v>2</v>
      </c>
      <c r="C6" s="9">
        <f>'April 2026 - June 2026'!C6</f>
        <v>0</v>
      </c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35.25" customHeight="1" x14ac:dyDescent="0.2">
      <c r="A7" s="8"/>
      <c r="B7" s="8" t="s">
        <v>166</v>
      </c>
      <c r="C7" s="9">
        <v>9</v>
      </c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35.25" customHeight="1" x14ac:dyDescent="0.2">
      <c r="A8" s="8"/>
      <c r="B8" s="8" t="s">
        <v>3</v>
      </c>
      <c r="C8" s="9">
        <f>'April 2026 - June 2026'!C8</f>
        <v>31.7</v>
      </c>
      <c r="D8" s="10"/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ht="35.25" customHeight="1" x14ac:dyDescent="0.2">
      <c r="A9" s="8"/>
      <c r="B9" s="8" t="s">
        <v>4</v>
      </c>
      <c r="C9" s="9">
        <f>'April 2026 - June 2026'!C9</f>
        <v>806.91000000000008</v>
      </c>
      <c r="D9" s="10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13.5" customHeight="1" x14ac:dyDescent="0.2">
      <c r="A10" s="12"/>
      <c r="B10" s="12"/>
      <c r="C10" s="12"/>
      <c r="D10" s="12"/>
      <c r="E10" s="12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3.5" customHeight="1" x14ac:dyDescent="0.2">
      <c r="A11" s="98" t="s">
        <v>98</v>
      </c>
      <c r="B11" s="98"/>
      <c r="C11" s="98"/>
      <c r="D11" s="98"/>
      <c r="E11" s="98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13.5" customHeight="1" x14ac:dyDescent="0.2">
      <c r="A12" s="13" t="s">
        <v>6</v>
      </c>
      <c r="B12" s="14" t="s">
        <v>7</v>
      </c>
      <c r="C12" s="99" t="s">
        <v>8</v>
      </c>
      <c r="D12" s="99"/>
      <c r="E12" s="4" t="s">
        <v>9</v>
      </c>
    </row>
    <row r="13" spans="1:25" ht="13.5" customHeight="1" x14ac:dyDescent="0.2">
      <c r="A13" s="51" t="s">
        <v>99</v>
      </c>
      <c r="B13" s="51" t="s">
        <v>11</v>
      </c>
      <c r="C13" s="127" t="s">
        <v>12</v>
      </c>
      <c r="D13" s="127"/>
      <c r="E13" s="52">
        <v>2485</v>
      </c>
    </row>
    <row r="14" spans="1:25" ht="13.5" customHeight="1" x14ac:dyDescent="0.2">
      <c r="A14" s="6" t="s">
        <v>118</v>
      </c>
      <c r="B14" s="6" t="s">
        <v>72</v>
      </c>
      <c r="C14" s="93" t="s">
        <v>119</v>
      </c>
      <c r="D14" s="93"/>
      <c r="E14" s="29">
        <v>55</v>
      </c>
    </row>
    <row r="15" spans="1:25" ht="44" customHeight="1" x14ac:dyDescent="0.2">
      <c r="A15" s="50" t="s">
        <v>120</v>
      </c>
      <c r="B15" s="50" t="s">
        <v>21</v>
      </c>
      <c r="C15" s="120" t="s">
        <v>128</v>
      </c>
      <c r="D15" s="93"/>
      <c r="E15" s="29">
        <v>770.4</v>
      </c>
    </row>
    <row r="16" spans="1:25" ht="13.5" customHeight="1" x14ac:dyDescent="0.2">
      <c r="A16" s="24"/>
      <c r="B16" s="24"/>
      <c r="C16" s="5"/>
      <c r="D16" s="25" t="s">
        <v>27</v>
      </c>
      <c r="E16" s="26">
        <f>SUM(E13:E15)</f>
        <v>3310.4</v>
      </c>
    </row>
    <row r="17" spans="1:25" ht="13.5" customHeight="1" x14ac:dyDescent="0.2">
      <c r="B17" s="24"/>
    </row>
    <row r="18" spans="1:25" ht="13.5" customHeight="1" x14ac:dyDescent="0.2">
      <c r="A18" s="91" t="s">
        <v>100</v>
      </c>
      <c r="B18" s="91"/>
      <c r="C18" s="91"/>
      <c r="D18" s="91"/>
      <c r="E18" s="9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ht="13.5" customHeight="1" x14ac:dyDescent="0.2">
      <c r="A19" s="31" t="s">
        <v>6</v>
      </c>
      <c r="B19" s="32" t="s">
        <v>7</v>
      </c>
      <c r="C19" s="92" t="s">
        <v>8</v>
      </c>
      <c r="D19" s="92"/>
      <c r="E19" s="2" t="s">
        <v>9</v>
      </c>
    </row>
    <row r="20" spans="1:25" ht="13.5" customHeight="1" x14ac:dyDescent="0.2">
      <c r="A20" s="50" t="s">
        <v>127</v>
      </c>
      <c r="B20" s="6" t="s">
        <v>11</v>
      </c>
      <c r="C20" s="93" t="s">
        <v>12</v>
      </c>
      <c r="D20" s="93"/>
      <c r="E20" s="29">
        <v>2485</v>
      </c>
    </row>
    <row r="21" spans="1:25" ht="37" customHeight="1" x14ac:dyDescent="0.2">
      <c r="A21" s="50" t="s">
        <v>127</v>
      </c>
      <c r="B21" s="50" t="s">
        <v>25</v>
      </c>
      <c r="C21" s="102" t="s">
        <v>141</v>
      </c>
      <c r="D21" s="103"/>
      <c r="E21" s="29">
        <v>100</v>
      </c>
    </row>
    <row r="22" spans="1:25" ht="19" customHeight="1" x14ac:dyDescent="0.2">
      <c r="A22" s="54" t="s">
        <v>131</v>
      </c>
      <c r="B22" s="54" t="s">
        <v>132</v>
      </c>
      <c r="C22" s="107" t="s">
        <v>133</v>
      </c>
      <c r="D22" s="108"/>
      <c r="E22" s="29">
        <v>3.08</v>
      </c>
    </row>
    <row r="23" spans="1:25" ht="66" customHeight="1" x14ac:dyDescent="0.2">
      <c r="A23" s="50" t="s">
        <v>134</v>
      </c>
      <c r="B23" s="50" t="s">
        <v>21</v>
      </c>
      <c r="C23" s="102" t="s">
        <v>160</v>
      </c>
      <c r="D23" s="103"/>
      <c r="E23" s="29">
        <v>234.1</v>
      </c>
    </row>
    <row r="24" spans="1:25" ht="37" customHeight="1" x14ac:dyDescent="0.2">
      <c r="A24" s="50" t="s">
        <v>136</v>
      </c>
      <c r="B24" s="50" t="s">
        <v>137</v>
      </c>
      <c r="C24" s="102" t="s">
        <v>156</v>
      </c>
      <c r="D24" s="103"/>
      <c r="E24" s="29">
        <v>1500</v>
      </c>
    </row>
    <row r="25" spans="1:25" ht="13.5" customHeight="1" x14ac:dyDescent="0.2">
      <c r="A25" s="24"/>
      <c r="B25" s="24"/>
      <c r="C25" s="5"/>
      <c r="D25" s="25" t="s">
        <v>27</v>
      </c>
      <c r="E25" s="26">
        <f>SUM(E20:E24)</f>
        <v>4322.18</v>
      </c>
    </row>
    <row r="26" spans="1:25" ht="13.5" customHeight="1" x14ac:dyDescent="0.2">
      <c r="A26" s="24"/>
      <c r="B26" s="24"/>
    </row>
    <row r="27" spans="1:25" ht="13.5" customHeight="1" x14ac:dyDescent="0.2">
      <c r="A27" s="91" t="s">
        <v>101</v>
      </c>
      <c r="B27" s="91"/>
      <c r="C27" s="91"/>
      <c r="D27" s="91"/>
      <c r="E27" s="9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ht="13.5" customHeight="1" x14ac:dyDescent="0.2">
      <c r="A28" s="31" t="s">
        <v>6</v>
      </c>
      <c r="B28" s="32" t="s">
        <v>7</v>
      </c>
      <c r="C28" s="92" t="s">
        <v>8</v>
      </c>
      <c r="D28" s="92"/>
      <c r="E28" s="2" t="s">
        <v>9</v>
      </c>
    </row>
    <row r="29" spans="1:25" ht="13.5" customHeight="1" x14ac:dyDescent="0.2">
      <c r="A29" s="50" t="s">
        <v>135</v>
      </c>
      <c r="B29" s="6" t="s">
        <v>11</v>
      </c>
      <c r="C29" s="93" t="s">
        <v>12</v>
      </c>
      <c r="D29" s="93"/>
      <c r="E29" s="33">
        <v>2485</v>
      </c>
    </row>
    <row r="30" spans="1:25" ht="66" customHeight="1" x14ac:dyDescent="0.2">
      <c r="A30" s="50" t="s">
        <v>135</v>
      </c>
      <c r="B30" s="50" t="s">
        <v>25</v>
      </c>
      <c r="C30" s="120" t="s">
        <v>163</v>
      </c>
      <c r="D30" s="93"/>
      <c r="E30" s="29">
        <v>150</v>
      </c>
    </row>
    <row r="31" spans="1:25" ht="64" customHeight="1" x14ac:dyDescent="0.2">
      <c r="A31" s="50" t="s">
        <v>162</v>
      </c>
      <c r="B31" s="50" t="s">
        <v>21</v>
      </c>
      <c r="C31" s="120" t="s">
        <v>165</v>
      </c>
      <c r="D31" s="93"/>
      <c r="E31" s="29">
        <v>1415.84</v>
      </c>
    </row>
    <row r="32" spans="1:25" ht="13.5" customHeight="1" x14ac:dyDescent="0.2">
      <c r="A32" s="24"/>
      <c r="B32" s="24"/>
      <c r="C32" s="5"/>
      <c r="D32" s="25" t="s">
        <v>27</v>
      </c>
      <c r="E32" s="26">
        <f>SUM(E29:E31)</f>
        <v>4050.84</v>
      </c>
    </row>
    <row r="33" spans="1:4" ht="13.5" customHeight="1" x14ac:dyDescent="0.2">
      <c r="A33" s="24"/>
      <c r="B33" s="24"/>
    </row>
    <row r="34" spans="1:4" ht="15" customHeight="1" x14ac:dyDescent="0.2">
      <c r="A34" s="94" t="s">
        <v>102</v>
      </c>
      <c r="B34" s="94"/>
      <c r="C34" s="94"/>
    </row>
    <row r="35" spans="1:4" ht="17" x14ac:dyDescent="0.2">
      <c r="A35" s="1" t="s">
        <v>7</v>
      </c>
      <c r="B35" s="1" t="s">
        <v>8</v>
      </c>
      <c r="C35" s="36" t="s">
        <v>9</v>
      </c>
      <c r="D35" s="37"/>
    </row>
    <row r="36" spans="1:4" ht="13.5" customHeight="1" x14ac:dyDescent="0.2">
      <c r="A36" s="95" t="s">
        <v>38</v>
      </c>
      <c r="B36" s="95"/>
      <c r="C36" s="95"/>
    </row>
    <row r="37" spans="1:4" ht="13.5" customHeight="1" x14ac:dyDescent="0.2">
      <c r="A37" s="50" t="s">
        <v>14</v>
      </c>
      <c r="B37" s="50" t="s">
        <v>108</v>
      </c>
      <c r="C37" s="33">
        <v>78</v>
      </c>
    </row>
    <row r="38" spans="1:4" ht="13.5" customHeight="1" x14ac:dyDescent="0.2">
      <c r="A38" s="17" t="s">
        <v>39</v>
      </c>
      <c r="B38" s="17" t="s">
        <v>40</v>
      </c>
      <c r="C38" s="38">
        <v>0</v>
      </c>
    </row>
    <row r="39" spans="1:4" ht="13.5" customHeight="1" x14ac:dyDescent="0.2">
      <c r="A39" s="17" t="s">
        <v>41</v>
      </c>
      <c r="B39" s="17" t="s">
        <v>42</v>
      </c>
      <c r="C39" s="38">
        <v>138</v>
      </c>
    </row>
    <row r="40" spans="1:4" ht="13.5" customHeight="1" x14ac:dyDescent="0.2">
      <c r="A40" s="7"/>
      <c r="B40" s="6" t="s">
        <v>43</v>
      </c>
      <c r="C40" s="39">
        <f>SUM(C37:C39)</f>
        <v>216</v>
      </c>
    </row>
    <row r="41" spans="1:4" ht="13.5" customHeight="1" x14ac:dyDescent="0.2">
      <c r="A41" s="96" t="s">
        <v>44</v>
      </c>
      <c r="B41" s="96"/>
      <c r="C41" s="96"/>
    </row>
    <row r="42" spans="1:4" ht="13.5" customHeight="1" x14ac:dyDescent="0.2">
      <c r="A42" s="96"/>
      <c r="B42" s="96"/>
      <c r="C42" s="96"/>
    </row>
    <row r="43" spans="1:4" ht="13.5" customHeight="1" x14ac:dyDescent="0.2">
      <c r="A43" s="6" t="s">
        <v>45</v>
      </c>
      <c r="B43" s="6"/>
      <c r="C43" s="29">
        <v>0</v>
      </c>
    </row>
    <row r="44" spans="1:4" ht="13.5" customHeight="1" x14ac:dyDescent="0.2">
      <c r="A44" s="6" t="s">
        <v>46</v>
      </c>
      <c r="B44" s="6"/>
      <c r="C44" s="19">
        <v>0</v>
      </c>
    </row>
    <row r="45" spans="1:4" ht="13.5" customHeight="1" x14ac:dyDescent="0.2">
      <c r="A45" s="6" t="s">
        <v>47</v>
      </c>
      <c r="B45" s="6"/>
      <c r="C45" s="19">
        <v>0</v>
      </c>
    </row>
    <row r="46" spans="1:4" ht="13.5" customHeight="1" x14ac:dyDescent="0.2">
      <c r="A46" s="6" t="s">
        <v>48</v>
      </c>
      <c r="B46" s="6"/>
      <c r="C46" s="19">
        <v>0</v>
      </c>
    </row>
    <row r="47" spans="1:4" ht="13.5" customHeight="1" x14ac:dyDescent="0.2">
      <c r="A47" s="6"/>
      <c r="B47" s="6" t="s">
        <v>49</v>
      </c>
      <c r="C47" s="39">
        <f>SUM(C43:C46)</f>
        <v>0</v>
      </c>
    </row>
    <row r="48" spans="1:4" ht="13.5" customHeight="1" x14ac:dyDescent="0.2">
      <c r="A48" s="95" t="s">
        <v>50</v>
      </c>
      <c r="B48" s="95"/>
      <c r="C48" s="95"/>
    </row>
    <row r="49" spans="1:3" ht="13.5" customHeight="1" x14ac:dyDescent="0.2">
      <c r="A49" s="6" t="s">
        <v>51</v>
      </c>
      <c r="B49" s="6" t="s">
        <v>52</v>
      </c>
      <c r="C49" s="33">
        <v>0</v>
      </c>
    </row>
    <row r="50" spans="1:3" ht="13.5" customHeight="1" x14ac:dyDescent="0.2">
      <c r="A50" s="6" t="s">
        <v>53</v>
      </c>
      <c r="B50" s="6" t="s">
        <v>54</v>
      </c>
      <c r="C50" s="33">
        <v>0</v>
      </c>
    </row>
    <row r="51" spans="1:3" ht="13.5" customHeight="1" x14ac:dyDescent="0.2">
      <c r="A51" s="6"/>
      <c r="B51" s="6" t="s">
        <v>55</v>
      </c>
      <c r="C51" s="39">
        <f>SUM(C49:C50)</f>
        <v>0</v>
      </c>
    </row>
    <row r="52" spans="1:3" ht="13.5" customHeight="1" x14ac:dyDescent="0.2">
      <c r="A52" s="95" t="s">
        <v>56</v>
      </c>
      <c r="B52" s="95"/>
      <c r="C52" s="95"/>
    </row>
    <row r="53" spans="1:3" ht="13.5" customHeight="1" x14ac:dyDescent="0.2">
      <c r="A53" s="6" t="s">
        <v>57</v>
      </c>
      <c r="B53" s="6" t="s">
        <v>58</v>
      </c>
      <c r="C53" s="29">
        <v>0</v>
      </c>
    </row>
    <row r="54" spans="1:3" ht="13.5" customHeight="1" x14ac:dyDescent="0.2">
      <c r="A54" s="17"/>
      <c r="B54" s="17" t="s">
        <v>59</v>
      </c>
      <c r="C54" s="39">
        <f>SUM(C53)</f>
        <v>0</v>
      </c>
    </row>
    <row r="55" spans="1:3" ht="13.5" customHeight="1" x14ac:dyDescent="0.2">
      <c r="A55" s="95" t="s">
        <v>60</v>
      </c>
      <c r="B55" s="95"/>
      <c r="C55" s="95"/>
    </row>
    <row r="56" spans="1:3" ht="13.5" customHeight="1" x14ac:dyDescent="0.2">
      <c r="A56" s="6" t="s">
        <v>61</v>
      </c>
      <c r="B56" s="6" t="s">
        <v>62</v>
      </c>
      <c r="C56" s="29">
        <v>0</v>
      </c>
    </row>
    <row r="57" spans="1:3" ht="13.5" customHeight="1" x14ac:dyDescent="0.2">
      <c r="A57" s="6"/>
      <c r="B57" s="6" t="s">
        <v>63</v>
      </c>
      <c r="C57" s="39">
        <f>SUM(C56)</f>
        <v>0</v>
      </c>
    </row>
    <row r="58" spans="1:3" ht="13.5" customHeight="1" x14ac:dyDescent="0.2">
      <c r="A58" s="89" t="s">
        <v>64</v>
      </c>
      <c r="B58" s="89"/>
      <c r="C58" s="89"/>
    </row>
    <row r="59" spans="1:3" ht="13.5" customHeight="1" x14ac:dyDescent="0.2">
      <c r="A59" s="17" t="s">
        <v>65</v>
      </c>
      <c r="B59" s="5" t="s">
        <v>66</v>
      </c>
      <c r="C59" s="40">
        <v>0</v>
      </c>
    </row>
    <row r="60" spans="1:3" ht="13.5" customHeight="1" x14ac:dyDescent="0.2">
      <c r="A60" s="6" t="s">
        <v>67</v>
      </c>
      <c r="B60" s="6" t="s">
        <v>15</v>
      </c>
      <c r="C60" s="29">
        <v>900</v>
      </c>
    </row>
    <row r="61" spans="1:3" ht="32" x14ac:dyDescent="0.2">
      <c r="A61" s="6" t="s">
        <v>68</v>
      </c>
      <c r="B61" s="6" t="s">
        <v>69</v>
      </c>
      <c r="C61" s="29">
        <v>0</v>
      </c>
    </row>
    <row r="62" spans="1:3" ht="13.5" customHeight="1" x14ac:dyDescent="0.2">
      <c r="A62" s="6" t="s">
        <v>70</v>
      </c>
      <c r="B62" s="6" t="s">
        <v>71</v>
      </c>
      <c r="C62" s="29">
        <v>0</v>
      </c>
    </row>
    <row r="63" spans="1:3" ht="13.5" customHeight="1" x14ac:dyDescent="0.2">
      <c r="A63" s="6" t="s">
        <v>72</v>
      </c>
      <c r="B63" s="6"/>
      <c r="C63" s="29">
        <v>55</v>
      </c>
    </row>
    <row r="64" spans="1:3" ht="13.5" customHeight="1" x14ac:dyDescent="0.2">
      <c r="A64" s="7" t="s">
        <v>73</v>
      </c>
      <c r="B64" s="7" t="s">
        <v>74</v>
      </c>
      <c r="C64" s="19">
        <v>0</v>
      </c>
    </row>
    <row r="65" spans="1:8" ht="13.5" customHeight="1" x14ac:dyDescent="0.2">
      <c r="A65" s="7"/>
      <c r="B65" s="7" t="s">
        <v>75</v>
      </c>
      <c r="C65" s="39">
        <f>SUM(C59:C64)</f>
        <v>955</v>
      </c>
    </row>
    <row r="66" spans="1:8" ht="13.5" customHeight="1" x14ac:dyDescent="0.2">
      <c r="A66" s="89" t="s">
        <v>76</v>
      </c>
      <c r="B66" s="89"/>
      <c r="C66" s="89"/>
    </row>
    <row r="67" spans="1:8" ht="13.5" customHeight="1" x14ac:dyDescent="0.2">
      <c r="A67" s="7" t="s">
        <v>21</v>
      </c>
      <c r="B67" s="7"/>
      <c r="C67" s="19">
        <v>0</v>
      </c>
    </row>
    <row r="68" spans="1:8" ht="13.5" customHeight="1" x14ac:dyDescent="0.2">
      <c r="A68" s="7" t="s">
        <v>77</v>
      </c>
      <c r="B68" s="7"/>
      <c r="C68" s="19">
        <v>0</v>
      </c>
    </row>
    <row r="69" spans="1:8" ht="13.5" customHeight="1" x14ac:dyDescent="0.2">
      <c r="A69" s="7"/>
      <c r="B69" s="7" t="s">
        <v>78</v>
      </c>
      <c r="C69" s="19">
        <f>SUM(C67:C68)</f>
        <v>0</v>
      </c>
    </row>
    <row r="70" spans="1:8" ht="13.5" customHeight="1" x14ac:dyDescent="0.2">
      <c r="A70" s="6"/>
      <c r="B70" s="34" t="s">
        <v>79</v>
      </c>
      <c r="C70" s="41">
        <f>C40+C47+C51+C54+C57+C65</f>
        <v>1171</v>
      </c>
      <c r="H70" s="42"/>
    </row>
    <row r="71" spans="1:8" ht="13.5" customHeight="1" x14ac:dyDescent="0.2">
      <c r="A71" s="24"/>
      <c r="B71" s="24"/>
    </row>
    <row r="72" spans="1:8" ht="13.5" customHeight="1" x14ac:dyDescent="0.2">
      <c r="A72" s="24"/>
      <c r="B72" s="24"/>
    </row>
    <row r="73" spans="1:8" ht="13.5" customHeight="1" x14ac:dyDescent="0.2">
      <c r="A73" s="74" t="s">
        <v>124</v>
      </c>
      <c r="B73" s="74"/>
      <c r="C73" s="74"/>
      <c r="D73" s="74"/>
      <c r="E73" s="74"/>
    </row>
    <row r="74" spans="1:8" ht="13.5" customHeight="1" x14ac:dyDescent="0.2">
      <c r="A74" s="90" t="s">
        <v>80</v>
      </c>
      <c r="B74" s="90"/>
      <c r="C74" s="90" t="s">
        <v>8</v>
      </c>
      <c r="D74" s="90"/>
      <c r="E74" s="44" t="s">
        <v>9</v>
      </c>
    </row>
    <row r="75" spans="1:8" ht="24" customHeight="1" x14ac:dyDescent="0.2">
      <c r="A75" s="64" t="s">
        <v>103</v>
      </c>
      <c r="B75" s="64"/>
      <c r="C75" s="61"/>
      <c r="D75" s="61"/>
      <c r="E75" s="47">
        <f>'April 2026 - June 2026'!E115</f>
        <v>110.69999999999982</v>
      </c>
    </row>
    <row r="76" spans="1:8" ht="39" customHeight="1" x14ac:dyDescent="0.2">
      <c r="A76" s="82" t="s">
        <v>64</v>
      </c>
      <c r="B76" s="82"/>
      <c r="C76" s="77" t="s">
        <v>117</v>
      </c>
      <c r="D76" s="77"/>
      <c r="E76" s="45">
        <v>600</v>
      </c>
    </row>
    <row r="77" spans="1:8" ht="259" customHeight="1" x14ac:dyDescent="0.2">
      <c r="A77" s="82"/>
      <c r="B77" s="82"/>
      <c r="C77" s="83" t="s">
        <v>129</v>
      </c>
      <c r="D77" s="84"/>
      <c r="E77" s="45">
        <v>1117.5</v>
      </c>
    </row>
    <row r="78" spans="1:8" ht="146" customHeight="1" x14ac:dyDescent="0.2">
      <c r="A78" s="82"/>
      <c r="B78" s="82"/>
      <c r="C78" s="83" t="s">
        <v>130</v>
      </c>
      <c r="D78" s="85"/>
      <c r="E78" s="45">
        <v>508</v>
      </c>
    </row>
    <row r="79" spans="1:8" ht="13.5" customHeight="1" x14ac:dyDescent="0.2">
      <c r="A79" s="82" t="s">
        <v>92</v>
      </c>
      <c r="B79" s="82"/>
      <c r="C79" s="86"/>
      <c r="D79" s="86"/>
      <c r="E79" s="46">
        <f>C70</f>
        <v>1171</v>
      </c>
    </row>
    <row r="80" spans="1:8" ht="13.5" customHeight="1" x14ac:dyDescent="0.2">
      <c r="C80" s="81" t="s">
        <v>93</v>
      </c>
      <c r="D80" s="81"/>
      <c r="E80" s="47">
        <f>(E16+E75)-SUM(E76:E79)</f>
        <v>24.599999999999909</v>
      </c>
    </row>
    <row r="81" spans="1:5" ht="13.5" customHeight="1" x14ac:dyDescent="0.2"/>
    <row r="82" spans="1:5" ht="13.5" customHeight="1" x14ac:dyDescent="0.2">
      <c r="A82" s="74" t="s">
        <v>125</v>
      </c>
      <c r="B82" s="74"/>
      <c r="C82" s="74"/>
      <c r="D82" s="74"/>
      <c r="E82" s="74"/>
    </row>
    <row r="83" spans="1:5" ht="13.5" customHeight="1" x14ac:dyDescent="0.2">
      <c r="A83" s="74" t="s">
        <v>80</v>
      </c>
      <c r="B83" s="74"/>
      <c r="C83" s="74" t="s">
        <v>8</v>
      </c>
      <c r="D83" s="74"/>
      <c r="E83" s="43" t="s">
        <v>9</v>
      </c>
    </row>
    <row r="84" spans="1:5" ht="23" customHeight="1" x14ac:dyDescent="0.2">
      <c r="A84" s="64" t="s">
        <v>104</v>
      </c>
      <c r="B84" s="64"/>
      <c r="C84" s="62"/>
      <c r="D84" s="62"/>
      <c r="E84" s="47">
        <f>E80</f>
        <v>24.599999999999909</v>
      </c>
    </row>
    <row r="85" spans="1:5" ht="56" customHeight="1" x14ac:dyDescent="0.2">
      <c r="A85" s="65" t="s">
        <v>64</v>
      </c>
      <c r="B85" s="66"/>
      <c r="C85" s="75" t="s">
        <v>138</v>
      </c>
      <c r="D85" s="76"/>
      <c r="E85" s="48">
        <v>830.4</v>
      </c>
    </row>
    <row r="86" spans="1:5" ht="149" customHeight="1" x14ac:dyDescent="0.2">
      <c r="A86" s="67"/>
      <c r="B86" s="68"/>
      <c r="C86" s="77" t="s">
        <v>142</v>
      </c>
      <c r="D86" s="77"/>
      <c r="E86" s="48">
        <v>721.4</v>
      </c>
    </row>
    <row r="87" spans="1:5" ht="234" customHeight="1" x14ac:dyDescent="0.2">
      <c r="A87" s="67"/>
      <c r="B87" s="68"/>
      <c r="C87" s="78" t="s">
        <v>161</v>
      </c>
      <c r="D87" s="79"/>
      <c r="E87" s="48">
        <v>956.5</v>
      </c>
    </row>
    <row r="88" spans="1:5" ht="40" customHeight="1" x14ac:dyDescent="0.2">
      <c r="A88" s="67"/>
      <c r="B88" s="68"/>
      <c r="C88" s="75" t="s">
        <v>140</v>
      </c>
      <c r="D88" s="80"/>
      <c r="E88" s="48">
        <v>196.54</v>
      </c>
    </row>
    <row r="89" spans="1:5" ht="80" customHeight="1" x14ac:dyDescent="0.2">
      <c r="A89" s="69"/>
      <c r="B89" s="70"/>
      <c r="C89" s="78" t="s">
        <v>139</v>
      </c>
      <c r="D89" s="79"/>
      <c r="E89" s="55">
        <v>426</v>
      </c>
    </row>
    <row r="90" spans="1:5" ht="19.5" customHeight="1" x14ac:dyDescent="0.2">
      <c r="A90" s="61" t="s">
        <v>92</v>
      </c>
      <c r="B90" s="61"/>
      <c r="C90" s="62"/>
      <c r="D90" s="62"/>
      <c r="E90" s="45">
        <f>C70</f>
        <v>1171</v>
      </c>
    </row>
    <row r="91" spans="1:5" ht="13.5" customHeight="1" x14ac:dyDescent="0.2">
      <c r="C91" s="63" t="s">
        <v>93</v>
      </c>
      <c r="D91" s="63"/>
      <c r="E91" s="47">
        <f>(E25+E84)-SUM(E85:E90)</f>
        <v>44.940000000000509</v>
      </c>
    </row>
    <row r="92" spans="1:5" ht="13.5" customHeight="1" x14ac:dyDescent="0.2">
      <c r="A92" s="49"/>
      <c r="B92" s="49"/>
      <c r="C92" s="49"/>
      <c r="D92" s="49"/>
      <c r="E92" s="49"/>
    </row>
    <row r="93" spans="1:5" ht="13.5" customHeight="1" x14ac:dyDescent="0.2">
      <c r="A93" s="49"/>
      <c r="B93" s="49"/>
      <c r="C93" s="49"/>
      <c r="D93" s="49"/>
      <c r="E93" s="49"/>
    </row>
    <row r="94" spans="1:5" ht="22" customHeight="1" x14ac:dyDescent="0.2">
      <c r="A94" s="73" t="s">
        <v>126</v>
      </c>
      <c r="B94" s="73"/>
      <c r="C94" s="73"/>
      <c r="D94" s="73"/>
      <c r="E94" s="73"/>
    </row>
    <row r="95" spans="1:5" ht="13.5" customHeight="1" x14ac:dyDescent="0.2">
      <c r="A95" s="74" t="s">
        <v>80</v>
      </c>
      <c r="B95" s="74"/>
      <c r="C95" s="74" t="s">
        <v>8</v>
      </c>
      <c r="D95" s="74"/>
      <c r="E95" s="43" t="s">
        <v>9</v>
      </c>
    </row>
    <row r="96" spans="1:5" ht="25" customHeight="1" x14ac:dyDescent="0.2">
      <c r="A96" s="64" t="s">
        <v>105</v>
      </c>
      <c r="B96" s="64"/>
      <c r="C96" s="62"/>
      <c r="D96" s="62"/>
      <c r="E96" s="47">
        <f>E91</f>
        <v>44.940000000000509</v>
      </c>
    </row>
    <row r="97" spans="1:5" ht="63" customHeight="1" x14ac:dyDescent="0.2">
      <c r="A97" s="65" t="s">
        <v>64</v>
      </c>
      <c r="B97" s="66"/>
      <c r="C97" s="75" t="s">
        <v>164</v>
      </c>
      <c r="D97" s="76"/>
      <c r="E97" s="45">
        <v>600</v>
      </c>
    </row>
    <row r="98" spans="1:5" ht="252" customHeight="1" x14ac:dyDescent="0.2">
      <c r="A98" s="67"/>
      <c r="B98" s="68"/>
      <c r="C98" s="71" t="s">
        <v>176</v>
      </c>
      <c r="D98" s="72"/>
      <c r="E98" s="45">
        <v>714.7</v>
      </c>
    </row>
    <row r="99" spans="1:5" ht="166" customHeight="1" x14ac:dyDescent="0.2">
      <c r="A99" s="67"/>
      <c r="B99" s="68"/>
      <c r="C99" s="71" t="s">
        <v>174</v>
      </c>
      <c r="D99" s="72"/>
      <c r="E99" s="45">
        <v>1419</v>
      </c>
    </row>
    <row r="100" spans="1:5" ht="49" customHeight="1" x14ac:dyDescent="0.2">
      <c r="A100" s="69"/>
      <c r="B100" s="70"/>
      <c r="C100" s="71" t="s">
        <v>175</v>
      </c>
      <c r="D100" s="72"/>
      <c r="E100" s="45">
        <v>191.36</v>
      </c>
    </row>
    <row r="101" spans="1:5" ht="13.5" customHeight="1" x14ac:dyDescent="0.2">
      <c r="A101" s="61" t="s">
        <v>92</v>
      </c>
      <c r="B101" s="61"/>
      <c r="C101" s="62"/>
      <c r="D101" s="62"/>
      <c r="E101" s="45">
        <f>C70</f>
        <v>1171</v>
      </c>
    </row>
    <row r="102" spans="1:5" ht="13.5" customHeight="1" x14ac:dyDescent="0.2">
      <c r="C102" s="63" t="s">
        <v>93</v>
      </c>
      <c r="D102" s="63"/>
      <c r="E102" s="47">
        <f>(E32+E96)-SUM(E97:E101)</f>
        <v>-0.27999999999883585</v>
      </c>
    </row>
    <row r="103" spans="1:5" ht="13.5" customHeight="1" x14ac:dyDescent="0.2">
      <c r="A103" s="24"/>
      <c r="B103" s="24"/>
    </row>
    <row r="104" spans="1:5" ht="13.5" customHeight="1" x14ac:dyDescent="0.2">
      <c r="A104" s="24"/>
      <c r="B104" s="24"/>
    </row>
    <row r="105" spans="1:5" ht="13.5" customHeight="1" x14ac:dyDescent="0.2">
      <c r="A105" s="24"/>
      <c r="B105" s="24"/>
    </row>
    <row r="106" spans="1:5" ht="13.5" customHeight="1" x14ac:dyDescent="0.2">
      <c r="A106" s="24"/>
      <c r="B106" s="24"/>
    </row>
    <row r="107" spans="1:5" ht="13.5" customHeight="1" x14ac:dyDescent="0.2">
      <c r="A107" s="24"/>
      <c r="B107" s="24"/>
    </row>
    <row r="108" spans="1:5" ht="13.5" customHeight="1" x14ac:dyDescent="0.2">
      <c r="A108" s="24"/>
      <c r="B108" s="24"/>
    </row>
    <row r="109" spans="1:5" ht="13.5" customHeight="1" x14ac:dyDescent="0.2">
      <c r="A109" s="24"/>
      <c r="B109" s="24"/>
    </row>
    <row r="110" spans="1:5" ht="13.5" customHeight="1" x14ac:dyDescent="0.2">
      <c r="A110" s="24"/>
      <c r="B110" s="24"/>
    </row>
    <row r="111" spans="1:5" ht="13.5" customHeight="1" x14ac:dyDescent="0.2">
      <c r="A111" s="24"/>
      <c r="B111" s="24"/>
    </row>
    <row r="112" spans="1:5" ht="13.5" customHeight="1" x14ac:dyDescent="0.2">
      <c r="A112" s="24"/>
      <c r="B112" s="24"/>
    </row>
    <row r="113" spans="1:2" ht="13.5" customHeight="1" x14ac:dyDescent="0.2">
      <c r="A113" s="24"/>
      <c r="B113" s="24"/>
    </row>
    <row r="114" spans="1:2" ht="13.5" customHeight="1" x14ac:dyDescent="0.2">
      <c r="A114" s="24"/>
      <c r="B114" s="24"/>
    </row>
    <row r="115" spans="1:2" ht="13.5" customHeight="1" x14ac:dyDescent="0.2">
      <c r="A115" s="24"/>
      <c r="B115" s="24"/>
    </row>
    <row r="116" spans="1:2" ht="13.5" customHeight="1" x14ac:dyDescent="0.2">
      <c r="A116" s="24"/>
      <c r="B116" s="24"/>
    </row>
    <row r="117" spans="1:2" ht="13.5" customHeight="1" x14ac:dyDescent="0.2">
      <c r="A117" s="24"/>
      <c r="B117" s="24"/>
    </row>
    <row r="118" spans="1:2" ht="13.5" customHeight="1" x14ac:dyDescent="0.2">
      <c r="A118" s="24"/>
      <c r="B118" s="24"/>
    </row>
    <row r="119" spans="1:2" ht="13.5" customHeight="1" x14ac:dyDescent="0.2">
      <c r="A119" s="24"/>
      <c r="B119" s="24"/>
    </row>
    <row r="120" spans="1:2" ht="13.5" customHeight="1" x14ac:dyDescent="0.2">
      <c r="A120" s="24"/>
      <c r="B120" s="24"/>
    </row>
    <row r="121" spans="1:2" ht="13.5" customHeight="1" x14ac:dyDescent="0.2">
      <c r="A121" s="24"/>
      <c r="B121" s="24"/>
    </row>
    <row r="122" spans="1:2" ht="13.5" customHeight="1" x14ac:dyDescent="0.2">
      <c r="A122" s="24"/>
      <c r="B122" s="24"/>
    </row>
    <row r="123" spans="1:2" ht="13.5" customHeight="1" x14ac:dyDescent="0.2">
      <c r="A123" s="24"/>
      <c r="B123" s="24"/>
    </row>
    <row r="124" spans="1:2" ht="13.5" customHeight="1" x14ac:dyDescent="0.2">
      <c r="A124" s="24"/>
      <c r="B124" s="24"/>
    </row>
    <row r="125" spans="1:2" ht="13.5" customHeight="1" x14ac:dyDescent="0.2">
      <c r="A125" s="24"/>
      <c r="B125" s="24"/>
    </row>
    <row r="126" spans="1:2" ht="13.5" customHeight="1" x14ac:dyDescent="0.2">
      <c r="A126" s="24"/>
      <c r="B126" s="24"/>
    </row>
    <row r="127" spans="1:2" ht="13.5" customHeight="1" x14ac:dyDescent="0.2">
      <c r="A127" s="24"/>
      <c r="B127" s="24"/>
    </row>
    <row r="128" spans="1:2" ht="13.5" customHeight="1" x14ac:dyDescent="0.2">
      <c r="A128" s="24"/>
      <c r="B128" s="24"/>
    </row>
    <row r="129" spans="1:2" ht="13.5" customHeight="1" x14ac:dyDescent="0.2">
      <c r="A129" s="24"/>
      <c r="B129" s="24"/>
    </row>
    <row r="130" spans="1:2" ht="13.5" customHeight="1" x14ac:dyDescent="0.2">
      <c r="A130" s="24"/>
      <c r="B130" s="24"/>
    </row>
    <row r="131" spans="1:2" ht="13.5" customHeight="1" x14ac:dyDescent="0.2">
      <c r="A131" s="24"/>
      <c r="B131" s="24"/>
    </row>
    <row r="132" spans="1:2" ht="13.5" customHeight="1" x14ac:dyDescent="0.2">
      <c r="A132" s="24"/>
      <c r="B132" s="24"/>
    </row>
    <row r="133" spans="1:2" ht="13.5" customHeight="1" x14ac:dyDescent="0.2">
      <c r="A133" s="24"/>
      <c r="B133" s="24"/>
    </row>
    <row r="134" spans="1:2" ht="13.5" customHeight="1" x14ac:dyDescent="0.2">
      <c r="A134" s="24"/>
      <c r="B134" s="24"/>
    </row>
    <row r="135" spans="1:2" ht="13.5" customHeight="1" x14ac:dyDescent="0.2">
      <c r="A135" s="24"/>
      <c r="B135" s="24"/>
    </row>
    <row r="136" spans="1:2" ht="13.5" customHeight="1" x14ac:dyDescent="0.2">
      <c r="A136" s="24"/>
      <c r="B136" s="24"/>
    </row>
    <row r="137" spans="1:2" ht="13.5" customHeight="1" x14ac:dyDescent="0.2">
      <c r="A137" s="24"/>
      <c r="B137" s="24"/>
    </row>
    <row r="138" spans="1:2" ht="13.5" customHeight="1" x14ac:dyDescent="0.2">
      <c r="A138" s="24"/>
      <c r="B138" s="24"/>
    </row>
    <row r="139" spans="1:2" ht="13.5" customHeight="1" x14ac:dyDescent="0.2">
      <c r="A139" s="24"/>
      <c r="B139" s="24"/>
    </row>
    <row r="140" spans="1:2" ht="13.5" customHeight="1" x14ac:dyDescent="0.2">
      <c r="A140" s="24"/>
      <c r="B140" s="24"/>
    </row>
    <row r="141" spans="1:2" ht="13.5" customHeight="1" x14ac:dyDescent="0.2">
      <c r="A141" s="24"/>
      <c r="B141" s="24"/>
    </row>
    <row r="142" spans="1:2" ht="13.5" customHeight="1" x14ac:dyDescent="0.2">
      <c r="A142" s="24"/>
      <c r="B142" s="24"/>
    </row>
    <row r="143" spans="1:2" ht="13.5" customHeight="1" x14ac:dyDescent="0.2">
      <c r="A143" s="24"/>
      <c r="B143" s="24"/>
    </row>
    <row r="144" spans="1:2" ht="13.5" customHeight="1" x14ac:dyDescent="0.2">
      <c r="A144" s="24"/>
      <c r="B144" s="24"/>
    </row>
    <row r="145" spans="1:2" ht="13.5" customHeight="1" x14ac:dyDescent="0.2">
      <c r="A145" s="24"/>
      <c r="B145" s="24"/>
    </row>
    <row r="146" spans="1:2" ht="13.5" customHeight="1" x14ac:dyDescent="0.2">
      <c r="A146" s="24"/>
      <c r="B146" s="24"/>
    </row>
    <row r="147" spans="1:2" ht="13.5" customHeight="1" x14ac:dyDescent="0.2">
      <c r="A147" s="24"/>
      <c r="B147" s="24"/>
    </row>
    <row r="148" spans="1:2" ht="13.5" customHeight="1" x14ac:dyDescent="0.2">
      <c r="A148" s="24"/>
      <c r="B148" s="24"/>
    </row>
    <row r="149" spans="1:2" ht="13.5" customHeight="1" x14ac:dyDescent="0.2">
      <c r="A149" s="24"/>
      <c r="B149" s="24"/>
    </row>
    <row r="150" spans="1:2" ht="13.5" customHeight="1" x14ac:dyDescent="0.2">
      <c r="A150" s="24"/>
      <c r="B150" s="24"/>
    </row>
    <row r="151" spans="1:2" ht="13.5" customHeight="1" x14ac:dyDescent="0.2">
      <c r="A151" s="24"/>
      <c r="B151" s="24"/>
    </row>
    <row r="152" spans="1:2" ht="13.5" customHeight="1" x14ac:dyDescent="0.2">
      <c r="A152" s="24"/>
      <c r="B152" s="24"/>
    </row>
    <row r="153" spans="1:2" ht="13.5" customHeight="1" x14ac:dyDescent="0.2">
      <c r="A153" s="24"/>
      <c r="B153" s="24"/>
    </row>
    <row r="154" spans="1:2" ht="13.5" customHeight="1" x14ac:dyDescent="0.2">
      <c r="A154" s="24"/>
      <c r="B154" s="24"/>
    </row>
    <row r="155" spans="1:2" ht="13.5" customHeight="1" x14ac:dyDescent="0.2">
      <c r="A155" s="24"/>
      <c r="B155" s="24"/>
    </row>
    <row r="156" spans="1:2" ht="13.5" customHeight="1" x14ac:dyDescent="0.2">
      <c r="A156" s="24"/>
      <c r="B156" s="24"/>
    </row>
    <row r="157" spans="1:2" ht="13.5" customHeight="1" x14ac:dyDescent="0.2">
      <c r="A157" s="24"/>
      <c r="B157" s="24"/>
    </row>
    <row r="158" spans="1:2" ht="13.5" customHeight="1" x14ac:dyDescent="0.2">
      <c r="A158" s="24"/>
      <c r="B158" s="24"/>
    </row>
    <row r="159" spans="1:2" ht="13.5" customHeight="1" x14ac:dyDescent="0.2">
      <c r="A159" s="24"/>
      <c r="B159" s="24"/>
    </row>
    <row r="160" spans="1:2" ht="13.5" customHeight="1" x14ac:dyDescent="0.2">
      <c r="A160" s="24"/>
      <c r="B160" s="24"/>
    </row>
    <row r="161" spans="1:2" ht="13.5" customHeight="1" x14ac:dyDescent="0.2">
      <c r="A161" s="24"/>
      <c r="B161" s="24"/>
    </row>
    <row r="162" spans="1:2" ht="13.5" customHeight="1" x14ac:dyDescent="0.2">
      <c r="A162" s="24"/>
      <c r="B162" s="24"/>
    </row>
    <row r="163" spans="1:2" ht="13.5" customHeight="1" x14ac:dyDescent="0.2">
      <c r="A163" s="24"/>
      <c r="B163" s="24"/>
    </row>
    <row r="164" spans="1:2" ht="13.5" customHeight="1" x14ac:dyDescent="0.2">
      <c r="A164" s="24"/>
      <c r="B164" s="24"/>
    </row>
    <row r="165" spans="1:2" ht="13.5" customHeight="1" x14ac:dyDescent="0.2">
      <c r="A165" s="24"/>
      <c r="B165" s="24"/>
    </row>
    <row r="166" spans="1:2" ht="13.5" customHeight="1" x14ac:dyDescent="0.2">
      <c r="A166" s="24"/>
      <c r="B166" s="24"/>
    </row>
    <row r="167" spans="1:2" ht="13.5" customHeight="1" x14ac:dyDescent="0.2">
      <c r="A167" s="24"/>
      <c r="B167" s="24"/>
    </row>
    <row r="168" spans="1:2" ht="13.5" customHeight="1" x14ac:dyDescent="0.2">
      <c r="A168" s="24"/>
      <c r="B168" s="24"/>
    </row>
    <row r="169" spans="1:2" ht="13.5" customHeight="1" x14ac:dyDescent="0.2">
      <c r="A169" s="24"/>
      <c r="B169" s="24"/>
    </row>
    <row r="170" spans="1:2" ht="13.5" customHeight="1" x14ac:dyDescent="0.2">
      <c r="A170" s="24"/>
      <c r="B170" s="24"/>
    </row>
    <row r="171" spans="1:2" ht="13.5" customHeight="1" x14ac:dyDescent="0.2">
      <c r="A171" s="24"/>
      <c r="B171" s="24"/>
    </row>
    <row r="172" spans="1:2" ht="13.5" customHeight="1" x14ac:dyDescent="0.2">
      <c r="A172" s="24"/>
      <c r="B172" s="24"/>
    </row>
    <row r="173" spans="1:2" ht="13.5" customHeight="1" x14ac:dyDescent="0.2">
      <c r="A173" s="24"/>
      <c r="B173" s="24"/>
    </row>
    <row r="174" spans="1:2" ht="13.5" customHeight="1" x14ac:dyDescent="0.2">
      <c r="A174" s="24"/>
      <c r="B174" s="24"/>
    </row>
    <row r="175" spans="1:2" ht="13.5" customHeight="1" x14ac:dyDescent="0.2">
      <c r="A175" s="24"/>
      <c r="B175" s="24"/>
    </row>
    <row r="176" spans="1:2" ht="13.5" customHeight="1" x14ac:dyDescent="0.2">
      <c r="A176" s="24"/>
      <c r="B176" s="24"/>
    </row>
    <row r="177" spans="1:2" ht="13.5" customHeight="1" x14ac:dyDescent="0.2">
      <c r="A177" s="24"/>
      <c r="B177" s="24"/>
    </row>
    <row r="178" spans="1:2" ht="13.5" customHeight="1" x14ac:dyDescent="0.2">
      <c r="A178" s="24"/>
      <c r="B178" s="24"/>
    </row>
    <row r="179" spans="1:2" ht="13.5" customHeight="1" x14ac:dyDescent="0.2">
      <c r="A179" s="24"/>
      <c r="B179" s="24"/>
    </row>
    <row r="180" spans="1:2" ht="13.5" customHeight="1" x14ac:dyDescent="0.2">
      <c r="A180" s="24"/>
      <c r="B180" s="24"/>
    </row>
    <row r="181" spans="1:2" ht="13.5" customHeight="1" x14ac:dyDescent="0.2">
      <c r="A181" s="24"/>
      <c r="B181" s="24"/>
    </row>
    <row r="182" spans="1:2" ht="13.5" customHeight="1" x14ac:dyDescent="0.2">
      <c r="A182" s="24"/>
      <c r="B182" s="24"/>
    </row>
    <row r="183" spans="1:2" ht="13.5" customHeight="1" x14ac:dyDescent="0.2">
      <c r="A183" s="24"/>
      <c r="B183" s="24"/>
    </row>
    <row r="184" spans="1:2" ht="13.5" customHeight="1" x14ac:dyDescent="0.2">
      <c r="A184" s="24"/>
      <c r="B184" s="24"/>
    </row>
    <row r="185" spans="1:2" ht="13.5" customHeight="1" x14ac:dyDescent="0.2">
      <c r="A185" s="24"/>
      <c r="B185" s="24"/>
    </row>
    <row r="186" spans="1:2" ht="13.5" customHeight="1" x14ac:dyDescent="0.2">
      <c r="A186" s="24"/>
      <c r="B186" s="24"/>
    </row>
    <row r="187" spans="1:2" ht="13.5" customHeight="1" x14ac:dyDescent="0.2">
      <c r="A187" s="24"/>
      <c r="B187" s="24"/>
    </row>
    <row r="188" spans="1:2" ht="13.5" customHeight="1" x14ac:dyDescent="0.2">
      <c r="A188" s="24"/>
      <c r="B188" s="24"/>
    </row>
    <row r="189" spans="1:2" ht="13.5" customHeight="1" x14ac:dyDescent="0.2">
      <c r="A189" s="24"/>
      <c r="B189" s="24"/>
    </row>
    <row r="190" spans="1:2" ht="13.5" customHeight="1" x14ac:dyDescent="0.2">
      <c r="A190" s="24"/>
      <c r="B190" s="24"/>
    </row>
    <row r="191" spans="1:2" ht="13.5" customHeight="1" x14ac:dyDescent="0.2">
      <c r="A191" s="24"/>
      <c r="B191" s="24"/>
    </row>
    <row r="192" spans="1:2" ht="13.5" customHeight="1" x14ac:dyDescent="0.2">
      <c r="A192" s="24"/>
      <c r="B192" s="24"/>
    </row>
    <row r="193" spans="1:2" ht="13.5" customHeight="1" x14ac:dyDescent="0.2">
      <c r="A193" s="24"/>
      <c r="B193" s="24"/>
    </row>
    <row r="194" spans="1:2" ht="13.5" customHeight="1" x14ac:dyDescent="0.2">
      <c r="A194" s="24"/>
      <c r="B194" s="24"/>
    </row>
    <row r="195" spans="1:2" ht="13.5" customHeight="1" x14ac:dyDescent="0.2">
      <c r="A195" s="24"/>
      <c r="B195" s="24"/>
    </row>
    <row r="196" spans="1:2" ht="13.5" customHeight="1" x14ac:dyDescent="0.2">
      <c r="A196" s="24"/>
      <c r="B196" s="24"/>
    </row>
    <row r="197" spans="1:2" ht="13.5" customHeight="1" x14ac:dyDescent="0.2">
      <c r="A197" s="24"/>
      <c r="B197" s="24"/>
    </row>
    <row r="198" spans="1:2" ht="13.5" customHeight="1" x14ac:dyDescent="0.2">
      <c r="A198" s="24"/>
      <c r="B198" s="24"/>
    </row>
    <row r="199" spans="1:2" ht="13.5" customHeight="1" x14ac:dyDescent="0.2">
      <c r="A199" s="24"/>
      <c r="B199" s="24"/>
    </row>
    <row r="200" spans="1:2" ht="13.5" customHeight="1" x14ac:dyDescent="0.2">
      <c r="A200" s="24"/>
      <c r="B200" s="24"/>
    </row>
    <row r="201" spans="1:2" ht="13.5" customHeight="1" x14ac:dyDescent="0.2">
      <c r="A201" s="24"/>
      <c r="B201" s="24"/>
    </row>
    <row r="202" spans="1:2" ht="13.5" customHeight="1" x14ac:dyDescent="0.2">
      <c r="A202" s="24"/>
      <c r="B202" s="24"/>
    </row>
    <row r="203" spans="1:2" ht="13.5" customHeight="1" x14ac:dyDescent="0.2">
      <c r="A203" s="24"/>
      <c r="B203" s="24"/>
    </row>
    <row r="204" spans="1:2" ht="13.5" customHeight="1" x14ac:dyDescent="0.2">
      <c r="A204" s="24"/>
      <c r="B204" s="24"/>
    </row>
    <row r="205" spans="1:2" ht="13.5" customHeight="1" x14ac:dyDescent="0.2">
      <c r="A205" s="24"/>
      <c r="B205" s="24"/>
    </row>
    <row r="206" spans="1:2" ht="13.5" customHeight="1" x14ac:dyDescent="0.2">
      <c r="A206" s="24"/>
      <c r="B206" s="24"/>
    </row>
    <row r="207" spans="1:2" ht="13.5" customHeight="1" x14ac:dyDescent="0.2">
      <c r="A207" s="24"/>
      <c r="B207" s="24"/>
    </row>
    <row r="208" spans="1:2" ht="13.5" customHeight="1" x14ac:dyDescent="0.2">
      <c r="A208" s="24"/>
      <c r="B208" s="24"/>
    </row>
    <row r="209" spans="1:2" ht="13.5" customHeight="1" x14ac:dyDescent="0.2">
      <c r="A209" s="24"/>
      <c r="B209" s="24"/>
    </row>
    <row r="210" spans="1:2" ht="13.5" customHeight="1" x14ac:dyDescent="0.2">
      <c r="A210" s="24"/>
      <c r="B210" s="24"/>
    </row>
    <row r="211" spans="1:2" ht="13.5" customHeight="1" x14ac:dyDescent="0.2">
      <c r="A211" s="24"/>
      <c r="B211" s="24"/>
    </row>
    <row r="212" spans="1:2" ht="13.5" customHeight="1" x14ac:dyDescent="0.2">
      <c r="A212" s="24"/>
      <c r="B212" s="24"/>
    </row>
    <row r="213" spans="1:2" ht="13.5" customHeight="1" x14ac:dyDescent="0.2">
      <c r="A213" s="24"/>
      <c r="B213" s="24"/>
    </row>
    <row r="214" spans="1:2" ht="13.5" customHeight="1" x14ac:dyDescent="0.2">
      <c r="A214" s="24"/>
      <c r="B214" s="24"/>
    </row>
    <row r="215" spans="1:2" ht="13.5" customHeight="1" x14ac:dyDescent="0.2">
      <c r="A215" s="24"/>
      <c r="B215" s="24"/>
    </row>
    <row r="216" spans="1:2" ht="13.5" customHeight="1" x14ac:dyDescent="0.2">
      <c r="A216" s="24"/>
      <c r="B216" s="24"/>
    </row>
    <row r="217" spans="1:2" ht="13.5" customHeight="1" x14ac:dyDescent="0.2">
      <c r="A217" s="24"/>
      <c r="B217" s="24"/>
    </row>
    <row r="218" spans="1:2" ht="13.5" customHeight="1" x14ac:dyDescent="0.2">
      <c r="A218" s="24"/>
      <c r="B218" s="24"/>
    </row>
    <row r="219" spans="1:2" ht="13.5" customHeight="1" x14ac:dyDescent="0.2">
      <c r="A219" s="24"/>
      <c r="B219" s="24"/>
    </row>
    <row r="220" spans="1:2" ht="13.5" customHeight="1" x14ac:dyDescent="0.2">
      <c r="A220" s="24"/>
      <c r="B220" s="24"/>
    </row>
    <row r="221" spans="1:2" ht="13.5" customHeight="1" x14ac:dyDescent="0.2">
      <c r="A221" s="24"/>
      <c r="B221" s="24"/>
    </row>
    <row r="222" spans="1:2" ht="13.5" customHeight="1" x14ac:dyDescent="0.2">
      <c r="A222" s="24"/>
      <c r="B222" s="24"/>
    </row>
    <row r="223" spans="1:2" ht="13.5" customHeight="1" x14ac:dyDescent="0.2">
      <c r="A223" s="24"/>
      <c r="B223" s="24"/>
    </row>
    <row r="224" spans="1:2" ht="13.5" customHeight="1" x14ac:dyDescent="0.2">
      <c r="A224" s="24"/>
      <c r="B224" s="24"/>
    </row>
    <row r="225" spans="1:2" ht="13.5" customHeight="1" x14ac:dyDescent="0.2">
      <c r="A225" s="24"/>
      <c r="B225" s="24"/>
    </row>
    <row r="226" spans="1:2" ht="13.5" customHeight="1" x14ac:dyDescent="0.2">
      <c r="A226" s="24"/>
      <c r="B226" s="24"/>
    </row>
    <row r="227" spans="1:2" ht="13.5" customHeight="1" x14ac:dyDescent="0.2">
      <c r="A227" s="24"/>
      <c r="B227" s="24"/>
    </row>
    <row r="228" spans="1:2" ht="13.5" customHeight="1" x14ac:dyDescent="0.2">
      <c r="A228" s="24"/>
      <c r="B228" s="24"/>
    </row>
    <row r="229" spans="1:2" ht="13.5" customHeight="1" x14ac:dyDescent="0.2">
      <c r="A229" s="24"/>
      <c r="B229" s="24"/>
    </row>
    <row r="230" spans="1:2" ht="13.5" customHeight="1" x14ac:dyDescent="0.2">
      <c r="A230" s="24"/>
      <c r="B230" s="24"/>
    </row>
    <row r="231" spans="1:2" ht="13.5" customHeight="1" x14ac:dyDescent="0.2">
      <c r="A231" s="24"/>
      <c r="B231" s="24"/>
    </row>
    <row r="232" spans="1:2" ht="13.5" customHeight="1" x14ac:dyDescent="0.2">
      <c r="A232" s="24"/>
      <c r="B232" s="24"/>
    </row>
    <row r="233" spans="1:2" ht="13.5" customHeight="1" x14ac:dyDescent="0.2">
      <c r="A233" s="24"/>
      <c r="B233" s="24"/>
    </row>
    <row r="234" spans="1:2" ht="13.5" customHeight="1" x14ac:dyDescent="0.2">
      <c r="A234" s="24"/>
      <c r="B234" s="24"/>
    </row>
    <row r="235" spans="1:2" ht="13.5" customHeight="1" x14ac:dyDescent="0.2">
      <c r="A235" s="24"/>
      <c r="B235" s="24"/>
    </row>
    <row r="236" spans="1:2" ht="13.5" customHeight="1" x14ac:dyDescent="0.2">
      <c r="A236" s="24"/>
      <c r="B236" s="24"/>
    </row>
    <row r="237" spans="1:2" ht="13.5" customHeight="1" x14ac:dyDescent="0.2">
      <c r="A237" s="24"/>
      <c r="B237" s="24"/>
    </row>
    <row r="238" spans="1:2" ht="13.5" customHeight="1" x14ac:dyDescent="0.2">
      <c r="A238" s="24"/>
      <c r="B238" s="24"/>
    </row>
    <row r="239" spans="1:2" ht="13.5" customHeight="1" x14ac:dyDescent="0.2">
      <c r="A239" s="24"/>
      <c r="B239" s="24"/>
    </row>
    <row r="240" spans="1:2" ht="13.5" customHeight="1" x14ac:dyDescent="0.2">
      <c r="A240" s="24"/>
      <c r="B240" s="24"/>
    </row>
    <row r="241" spans="1:2" ht="13.5" customHeight="1" x14ac:dyDescent="0.2">
      <c r="A241" s="24"/>
      <c r="B241" s="24"/>
    </row>
    <row r="242" spans="1:2" ht="13.5" customHeight="1" x14ac:dyDescent="0.2">
      <c r="A242" s="24"/>
      <c r="B242" s="24"/>
    </row>
    <row r="243" spans="1:2" ht="13.5" customHeight="1" x14ac:dyDescent="0.2">
      <c r="A243" s="24"/>
      <c r="B243" s="24"/>
    </row>
    <row r="244" spans="1:2" ht="13.5" customHeight="1" x14ac:dyDescent="0.2">
      <c r="A244" s="24"/>
      <c r="B244" s="24"/>
    </row>
    <row r="245" spans="1:2" ht="13.5" customHeight="1" x14ac:dyDescent="0.2">
      <c r="A245" s="24"/>
      <c r="B245" s="24"/>
    </row>
    <row r="246" spans="1:2" ht="13.5" customHeight="1" x14ac:dyDescent="0.2">
      <c r="A246" s="24"/>
      <c r="B246" s="24"/>
    </row>
    <row r="247" spans="1:2" ht="13.5" customHeight="1" x14ac:dyDescent="0.2">
      <c r="A247" s="24"/>
      <c r="B247" s="24"/>
    </row>
    <row r="248" spans="1:2" ht="13.5" customHeight="1" x14ac:dyDescent="0.2">
      <c r="A248" s="24"/>
      <c r="B248" s="24"/>
    </row>
    <row r="249" spans="1:2" ht="13.5" customHeight="1" x14ac:dyDescent="0.2">
      <c r="A249" s="24"/>
      <c r="B249" s="24"/>
    </row>
    <row r="250" spans="1:2" ht="13.5" customHeight="1" x14ac:dyDescent="0.2">
      <c r="A250" s="24"/>
      <c r="B250" s="24"/>
    </row>
    <row r="251" spans="1:2" ht="13.5" customHeight="1" x14ac:dyDescent="0.2">
      <c r="A251" s="24"/>
      <c r="B251" s="24"/>
    </row>
    <row r="252" spans="1:2" ht="13.5" customHeight="1" x14ac:dyDescent="0.2">
      <c r="A252" s="24"/>
      <c r="B252" s="24"/>
    </row>
    <row r="253" spans="1:2" ht="13.5" customHeight="1" x14ac:dyDescent="0.2">
      <c r="A253" s="24"/>
      <c r="B253" s="24"/>
    </row>
    <row r="254" spans="1:2" ht="13.5" customHeight="1" x14ac:dyDescent="0.2">
      <c r="A254" s="24"/>
      <c r="B254" s="24"/>
    </row>
    <row r="255" spans="1:2" ht="13.5" customHeight="1" x14ac:dyDescent="0.2">
      <c r="A255" s="24"/>
      <c r="B255" s="24"/>
    </row>
    <row r="256" spans="1:2" ht="13.5" customHeight="1" x14ac:dyDescent="0.2">
      <c r="A256" s="24"/>
      <c r="B256" s="24"/>
    </row>
    <row r="257" spans="1:2" ht="13.5" customHeight="1" x14ac:dyDescent="0.2">
      <c r="A257" s="24"/>
      <c r="B257" s="24"/>
    </row>
    <row r="258" spans="1:2" ht="13.5" customHeight="1" x14ac:dyDescent="0.2">
      <c r="A258" s="24"/>
      <c r="B258" s="24"/>
    </row>
    <row r="259" spans="1:2" ht="13.5" customHeight="1" x14ac:dyDescent="0.2">
      <c r="A259" s="24"/>
      <c r="B259" s="24"/>
    </row>
    <row r="260" spans="1:2" ht="13.5" customHeight="1" x14ac:dyDescent="0.2">
      <c r="A260" s="24"/>
      <c r="B260" s="24"/>
    </row>
    <row r="261" spans="1:2" ht="13.5" customHeight="1" x14ac:dyDescent="0.2">
      <c r="A261" s="24"/>
      <c r="B261" s="24"/>
    </row>
    <row r="262" spans="1:2" ht="13.5" customHeight="1" x14ac:dyDescent="0.2">
      <c r="A262" s="24"/>
      <c r="B262" s="24"/>
    </row>
    <row r="263" spans="1:2" ht="13.5" customHeight="1" x14ac:dyDescent="0.2">
      <c r="A263" s="24"/>
      <c r="B263" s="24"/>
    </row>
    <row r="264" spans="1:2" ht="13.5" customHeight="1" x14ac:dyDescent="0.2">
      <c r="A264" s="24"/>
      <c r="B264" s="24"/>
    </row>
    <row r="265" spans="1:2" ht="13.5" customHeight="1" x14ac:dyDescent="0.2">
      <c r="A265" s="24"/>
      <c r="B265" s="24"/>
    </row>
    <row r="266" spans="1:2" ht="13.5" customHeight="1" x14ac:dyDescent="0.2">
      <c r="A266" s="24"/>
      <c r="B266" s="24"/>
    </row>
    <row r="267" spans="1:2" ht="13.5" customHeight="1" x14ac:dyDescent="0.2">
      <c r="A267" s="24"/>
      <c r="B267" s="24"/>
    </row>
    <row r="268" spans="1:2" ht="13.5" customHeight="1" x14ac:dyDescent="0.2">
      <c r="A268" s="24"/>
      <c r="B268" s="24"/>
    </row>
    <row r="269" spans="1:2" ht="13.5" customHeight="1" x14ac:dyDescent="0.2">
      <c r="A269" s="24"/>
      <c r="B269" s="24"/>
    </row>
    <row r="270" spans="1:2" ht="13.5" customHeight="1" x14ac:dyDescent="0.2">
      <c r="A270" s="24"/>
      <c r="B270" s="24"/>
    </row>
    <row r="271" spans="1:2" ht="13.5" customHeight="1" x14ac:dyDescent="0.2">
      <c r="A271" s="24"/>
      <c r="B271" s="24"/>
    </row>
    <row r="272" spans="1:2" ht="13.5" customHeight="1" x14ac:dyDescent="0.2">
      <c r="A272" s="24"/>
      <c r="B272" s="24"/>
    </row>
    <row r="273" spans="1:2" ht="13.5" customHeight="1" x14ac:dyDescent="0.2">
      <c r="A273" s="24"/>
      <c r="B273" s="24"/>
    </row>
    <row r="274" spans="1:2" ht="13.5" customHeight="1" x14ac:dyDescent="0.2">
      <c r="A274" s="24"/>
      <c r="B274" s="24"/>
    </row>
    <row r="275" spans="1:2" ht="13.5" customHeight="1" x14ac:dyDescent="0.2">
      <c r="A275" s="24"/>
      <c r="B275" s="24"/>
    </row>
    <row r="276" spans="1:2" ht="13.5" customHeight="1" x14ac:dyDescent="0.2">
      <c r="A276" s="24"/>
      <c r="B276" s="24"/>
    </row>
    <row r="277" spans="1:2" ht="13.5" customHeight="1" x14ac:dyDescent="0.2">
      <c r="A277" s="24"/>
      <c r="B277" s="24"/>
    </row>
    <row r="278" spans="1:2" ht="13.5" customHeight="1" x14ac:dyDescent="0.2">
      <c r="A278" s="24"/>
      <c r="B278" s="24"/>
    </row>
    <row r="279" spans="1:2" ht="13.5" customHeight="1" x14ac:dyDescent="0.2">
      <c r="A279" s="24"/>
      <c r="B279" s="24"/>
    </row>
    <row r="280" spans="1:2" ht="13.5" customHeight="1" x14ac:dyDescent="0.2">
      <c r="A280" s="24"/>
      <c r="B280" s="24"/>
    </row>
    <row r="281" spans="1:2" ht="13.5" customHeight="1" x14ac:dyDescent="0.2">
      <c r="A281" s="24"/>
      <c r="B281" s="24"/>
    </row>
    <row r="282" spans="1:2" ht="13.5" customHeight="1" x14ac:dyDescent="0.2">
      <c r="A282" s="24"/>
      <c r="B282" s="24"/>
    </row>
    <row r="283" spans="1:2" ht="13.5" customHeight="1" x14ac:dyDescent="0.2">
      <c r="A283" s="24"/>
      <c r="B283" s="24"/>
    </row>
    <row r="284" spans="1:2" ht="13.5" customHeight="1" x14ac:dyDescent="0.2">
      <c r="A284" s="24"/>
      <c r="B284" s="24"/>
    </row>
    <row r="285" spans="1:2" ht="13.5" customHeight="1" x14ac:dyDescent="0.2">
      <c r="A285" s="24"/>
      <c r="B285" s="24"/>
    </row>
    <row r="286" spans="1:2" ht="13.5" customHeight="1" x14ac:dyDescent="0.2">
      <c r="A286" s="24"/>
      <c r="B286" s="24"/>
    </row>
    <row r="287" spans="1:2" ht="13.5" customHeight="1" x14ac:dyDescent="0.2">
      <c r="A287" s="24"/>
      <c r="B287" s="24"/>
    </row>
    <row r="288" spans="1:2" ht="13.5" customHeight="1" x14ac:dyDescent="0.2">
      <c r="A288" s="24"/>
      <c r="B288" s="24"/>
    </row>
    <row r="289" spans="1:2" ht="13.5" customHeight="1" x14ac:dyDescent="0.2">
      <c r="A289" s="24"/>
      <c r="B289" s="24"/>
    </row>
    <row r="290" spans="1:2" ht="13.5" customHeight="1" x14ac:dyDescent="0.2">
      <c r="A290" s="24"/>
      <c r="B290" s="24"/>
    </row>
    <row r="291" spans="1:2" ht="13.5" customHeight="1" x14ac:dyDescent="0.2">
      <c r="A291" s="24"/>
      <c r="B291" s="24"/>
    </row>
    <row r="292" spans="1:2" ht="13.5" customHeight="1" x14ac:dyDescent="0.2">
      <c r="A292" s="24"/>
      <c r="B292" s="24"/>
    </row>
    <row r="293" spans="1:2" ht="13.5" customHeight="1" x14ac:dyDescent="0.2">
      <c r="A293" s="24"/>
      <c r="B293" s="24"/>
    </row>
    <row r="294" spans="1:2" ht="13.5" customHeight="1" x14ac:dyDescent="0.2">
      <c r="A294" s="24"/>
      <c r="B294" s="24"/>
    </row>
    <row r="295" spans="1:2" ht="13.5" customHeight="1" x14ac:dyDescent="0.2">
      <c r="A295" s="24"/>
      <c r="B295" s="24"/>
    </row>
    <row r="296" spans="1:2" ht="13.5" customHeight="1" x14ac:dyDescent="0.2">
      <c r="A296" s="24"/>
      <c r="B296" s="24"/>
    </row>
    <row r="297" spans="1:2" ht="13.5" customHeight="1" x14ac:dyDescent="0.2">
      <c r="A297" s="24"/>
      <c r="B297" s="24"/>
    </row>
    <row r="298" spans="1:2" ht="13.5" customHeight="1" x14ac:dyDescent="0.2">
      <c r="A298" s="24"/>
      <c r="B298" s="24"/>
    </row>
    <row r="299" spans="1:2" ht="13.5" customHeight="1" x14ac:dyDescent="0.2">
      <c r="A299" s="24"/>
      <c r="B299" s="24"/>
    </row>
    <row r="300" spans="1:2" ht="13.5" customHeight="1" x14ac:dyDescent="0.2">
      <c r="A300" s="24"/>
      <c r="B300" s="24"/>
    </row>
    <row r="301" spans="1:2" ht="13.5" customHeight="1" x14ac:dyDescent="0.2">
      <c r="A301" s="24"/>
      <c r="B301" s="24"/>
    </row>
    <row r="302" spans="1:2" ht="13.5" customHeight="1" x14ac:dyDescent="0.2">
      <c r="A302" s="24"/>
      <c r="B302" s="24"/>
    </row>
    <row r="303" spans="1:2" ht="13.5" customHeight="1" x14ac:dyDescent="0.2">
      <c r="A303" s="24"/>
      <c r="B303" s="24"/>
    </row>
    <row r="304" spans="1:2" ht="13.5" customHeight="1" x14ac:dyDescent="0.2">
      <c r="A304" s="24"/>
      <c r="B304" s="24"/>
    </row>
    <row r="305" spans="1:2" ht="13.5" customHeight="1" x14ac:dyDescent="0.2">
      <c r="A305" s="24"/>
      <c r="B305" s="24"/>
    </row>
    <row r="306" spans="1:2" ht="13.5" customHeight="1" x14ac:dyDescent="0.2">
      <c r="A306" s="24"/>
      <c r="B306" s="24"/>
    </row>
    <row r="307" spans="1:2" ht="13.5" customHeight="1" x14ac:dyDescent="0.2">
      <c r="A307" s="24"/>
      <c r="B307" s="24"/>
    </row>
    <row r="308" spans="1:2" ht="13.5" customHeight="1" x14ac:dyDescent="0.2">
      <c r="A308" s="24"/>
      <c r="B308" s="24"/>
    </row>
    <row r="309" spans="1:2" ht="13.5" customHeight="1" x14ac:dyDescent="0.2">
      <c r="A309" s="24"/>
      <c r="B309" s="24"/>
    </row>
    <row r="310" spans="1:2" ht="13.5" customHeight="1" x14ac:dyDescent="0.2">
      <c r="A310" s="24"/>
      <c r="B310" s="24"/>
    </row>
    <row r="311" spans="1:2" ht="13.5" customHeight="1" x14ac:dyDescent="0.2">
      <c r="A311" s="24"/>
      <c r="B311" s="24"/>
    </row>
    <row r="312" spans="1:2" ht="13.5" customHeight="1" x14ac:dyDescent="0.2">
      <c r="A312" s="24"/>
      <c r="B312" s="24"/>
    </row>
    <row r="313" spans="1:2" ht="13.5" customHeight="1" x14ac:dyDescent="0.2">
      <c r="A313" s="24"/>
      <c r="B313" s="24"/>
    </row>
    <row r="314" spans="1:2" ht="13.5" customHeight="1" x14ac:dyDescent="0.2">
      <c r="A314" s="24"/>
      <c r="B314" s="24"/>
    </row>
    <row r="315" spans="1:2" ht="13.5" customHeight="1" x14ac:dyDescent="0.2">
      <c r="A315" s="24"/>
      <c r="B315" s="24"/>
    </row>
    <row r="316" spans="1:2" ht="13.5" customHeight="1" x14ac:dyDescent="0.2">
      <c r="A316" s="24"/>
      <c r="B316" s="24"/>
    </row>
    <row r="317" spans="1:2" ht="13.5" customHeight="1" x14ac:dyDescent="0.2">
      <c r="A317" s="24"/>
      <c r="B317" s="24"/>
    </row>
    <row r="318" spans="1:2" ht="13.5" customHeight="1" x14ac:dyDescent="0.2">
      <c r="A318" s="24"/>
      <c r="B318" s="24"/>
    </row>
    <row r="319" spans="1:2" ht="13.5" customHeight="1" x14ac:dyDescent="0.2">
      <c r="A319" s="24"/>
      <c r="B319" s="24"/>
    </row>
    <row r="320" spans="1:2" ht="13.5" customHeight="1" x14ac:dyDescent="0.2">
      <c r="A320" s="24"/>
      <c r="B320" s="24"/>
    </row>
    <row r="321" spans="1:2" ht="13.5" customHeight="1" x14ac:dyDescent="0.2">
      <c r="A321" s="24"/>
      <c r="B321" s="24"/>
    </row>
    <row r="322" spans="1:2" ht="13.5" customHeight="1" x14ac:dyDescent="0.2">
      <c r="A322" s="24"/>
      <c r="B322" s="24"/>
    </row>
    <row r="323" spans="1:2" ht="13.5" customHeight="1" x14ac:dyDescent="0.2">
      <c r="A323" s="24"/>
      <c r="B323" s="24"/>
    </row>
    <row r="324" spans="1:2" ht="13.5" customHeight="1" x14ac:dyDescent="0.2">
      <c r="A324" s="24"/>
      <c r="B324" s="24"/>
    </row>
    <row r="325" spans="1:2" ht="13.5" customHeight="1" x14ac:dyDescent="0.2">
      <c r="A325" s="24"/>
      <c r="B325" s="24"/>
    </row>
    <row r="326" spans="1:2" ht="13.5" customHeight="1" x14ac:dyDescent="0.2">
      <c r="A326" s="24"/>
      <c r="B326" s="24"/>
    </row>
    <row r="327" spans="1:2" ht="13.5" customHeight="1" x14ac:dyDescent="0.2">
      <c r="A327" s="24"/>
      <c r="B327" s="24"/>
    </row>
    <row r="328" spans="1:2" ht="13.5" customHeight="1" x14ac:dyDescent="0.2">
      <c r="A328" s="24"/>
      <c r="B328" s="24"/>
    </row>
    <row r="329" spans="1:2" ht="13.5" customHeight="1" x14ac:dyDescent="0.2">
      <c r="A329" s="24"/>
      <c r="B329" s="24"/>
    </row>
    <row r="330" spans="1:2" ht="13.5" customHeight="1" x14ac:dyDescent="0.2">
      <c r="A330" s="24"/>
      <c r="B330" s="24"/>
    </row>
    <row r="331" spans="1:2" ht="13.5" customHeight="1" x14ac:dyDescent="0.2">
      <c r="A331" s="24"/>
      <c r="B331" s="24"/>
    </row>
    <row r="332" spans="1:2" ht="13.5" customHeight="1" x14ac:dyDescent="0.2">
      <c r="A332" s="24"/>
      <c r="B332" s="24"/>
    </row>
    <row r="333" spans="1:2" ht="13.5" customHeight="1" x14ac:dyDescent="0.2">
      <c r="A333" s="24"/>
      <c r="B333" s="24"/>
    </row>
    <row r="334" spans="1:2" ht="13.5" customHeight="1" x14ac:dyDescent="0.2">
      <c r="A334" s="24"/>
      <c r="B334" s="24"/>
    </row>
    <row r="335" spans="1:2" ht="13.5" customHeight="1" x14ac:dyDescent="0.2">
      <c r="A335" s="24"/>
      <c r="B335" s="24"/>
    </row>
    <row r="336" spans="1:2" ht="13.5" customHeight="1" x14ac:dyDescent="0.2">
      <c r="A336" s="24"/>
      <c r="B336" s="24"/>
    </row>
    <row r="337" spans="1:2" ht="13.5" customHeight="1" x14ac:dyDescent="0.2">
      <c r="A337" s="24"/>
      <c r="B337" s="24"/>
    </row>
    <row r="338" spans="1:2" ht="13.5" customHeight="1" x14ac:dyDescent="0.2">
      <c r="A338" s="24"/>
      <c r="B338" s="24"/>
    </row>
    <row r="339" spans="1:2" ht="13.5" customHeight="1" x14ac:dyDescent="0.2">
      <c r="A339" s="24"/>
      <c r="B339" s="24"/>
    </row>
    <row r="340" spans="1:2" ht="13.5" customHeight="1" x14ac:dyDescent="0.2">
      <c r="A340" s="24"/>
      <c r="B340" s="24"/>
    </row>
    <row r="341" spans="1:2" ht="13.5" customHeight="1" x14ac:dyDescent="0.2">
      <c r="A341" s="24"/>
      <c r="B341" s="24"/>
    </row>
    <row r="342" spans="1:2" ht="13.5" customHeight="1" x14ac:dyDescent="0.2">
      <c r="A342" s="24"/>
      <c r="B342" s="24"/>
    </row>
    <row r="343" spans="1:2" ht="13.5" customHeight="1" x14ac:dyDescent="0.2">
      <c r="A343" s="24"/>
      <c r="B343" s="24"/>
    </row>
    <row r="344" spans="1:2" ht="13.5" customHeight="1" x14ac:dyDescent="0.2">
      <c r="A344" s="24"/>
      <c r="B344" s="24"/>
    </row>
    <row r="345" spans="1:2" ht="13.5" customHeight="1" x14ac:dyDescent="0.2">
      <c r="A345" s="24"/>
      <c r="B345" s="24"/>
    </row>
    <row r="346" spans="1:2" ht="13.5" customHeight="1" x14ac:dyDescent="0.2">
      <c r="A346" s="24"/>
      <c r="B346" s="24"/>
    </row>
    <row r="347" spans="1:2" ht="13.5" customHeight="1" x14ac:dyDescent="0.2">
      <c r="A347" s="24"/>
      <c r="B347" s="24"/>
    </row>
    <row r="348" spans="1:2" ht="13.5" customHeight="1" x14ac:dyDescent="0.2">
      <c r="A348" s="24"/>
      <c r="B348" s="24"/>
    </row>
    <row r="349" spans="1:2" ht="13.5" customHeight="1" x14ac:dyDescent="0.2">
      <c r="A349" s="24"/>
      <c r="B349" s="24"/>
    </row>
    <row r="350" spans="1:2" ht="13.5" customHeight="1" x14ac:dyDescent="0.2">
      <c r="A350" s="24"/>
      <c r="B350" s="24"/>
    </row>
    <row r="351" spans="1:2" ht="13.5" customHeight="1" x14ac:dyDescent="0.2">
      <c r="A351" s="24"/>
      <c r="B351" s="24"/>
    </row>
    <row r="352" spans="1:2" ht="13.5" customHeight="1" x14ac:dyDescent="0.2">
      <c r="A352" s="24"/>
      <c r="B352" s="24"/>
    </row>
    <row r="353" spans="1:2" ht="13.5" customHeight="1" x14ac:dyDescent="0.2">
      <c r="A353" s="24"/>
      <c r="B353" s="24"/>
    </row>
    <row r="354" spans="1:2" ht="13.5" customHeight="1" x14ac:dyDescent="0.2">
      <c r="A354" s="24"/>
      <c r="B354" s="24"/>
    </row>
    <row r="355" spans="1:2" ht="13.5" customHeight="1" x14ac:dyDescent="0.2">
      <c r="A355" s="24"/>
      <c r="B355" s="24"/>
    </row>
    <row r="356" spans="1:2" ht="13.5" customHeight="1" x14ac:dyDescent="0.2">
      <c r="A356" s="24"/>
      <c r="B356" s="24"/>
    </row>
    <row r="357" spans="1:2" ht="13.5" customHeight="1" x14ac:dyDescent="0.2">
      <c r="A357" s="24"/>
      <c r="B357" s="24"/>
    </row>
    <row r="358" spans="1:2" ht="13.5" customHeight="1" x14ac:dyDescent="0.2">
      <c r="A358" s="24"/>
      <c r="B358" s="24"/>
    </row>
    <row r="359" spans="1:2" ht="13.5" customHeight="1" x14ac:dyDescent="0.2">
      <c r="A359" s="24"/>
      <c r="B359" s="24"/>
    </row>
    <row r="360" spans="1:2" ht="13.5" customHeight="1" x14ac:dyDescent="0.2">
      <c r="A360" s="24"/>
      <c r="B360" s="24"/>
    </row>
    <row r="361" spans="1:2" ht="13.5" customHeight="1" x14ac:dyDescent="0.2">
      <c r="A361" s="24"/>
      <c r="B361" s="24"/>
    </row>
    <row r="362" spans="1:2" ht="13.5" customHeight="1" x14ac:dyDescent="0.2">
      <c r="A362" s="24"/>
      <c r="B362" s="24"/>
    </row>
    <row r="363" spans="1:2" ht="13.5" customHeight="1" x14ac:dyDescent="0.2">
      <c r="A363" s="24"/>
      <c r="B363" s="24"/>
    </row>
    <row r="364" spans="1:2" ht="13.5" customHeight="1" x14ac:dyDescent="0.2">
      <c r="A364" s="24"/>
      <c r="B364" s="24"/>
    </row>
    <row r="365" spans="1:2" ht="13.5" customHeight="1" x14ac:dyDescent="0.2">
      <c r="A365" s="24"/>
      <c r="B365" s="24"/>
    </row>
    <row r="366" spans="1:2" ht="13.5" customHeight="1" x14ac:dyDescent="0.2">
      <c r="A366" s="24"/>
      <c r="B366" s="24"/>
    </row>
    <row r="367" spans="1:2" ht="13.5" customHeight="1" x14ac:dyDescent="0.2">
      <c r="A367" s="24"/>
      <c r="B367" s="24"/>
    </row>
    <row r="368" spans="1:2" ht="13.5" customHeight="1" x14ac:dyDescent="0.2">
      <c r="A368" s="24"/>
      <c r="B368" s="24"/>
    </row>
    <row r="369" spans="1:2" ht="13.5" customHeight="1" x14ac:dyDescent="0.2">
      <c r="A369" s="24"/>
      <c r="B369" s="24"/>
    </row>
    <row r="370" spans="1:2" ht="13.5" customHeight="1" x14ac:dyDescent="0.2">
      <c r="A370" s="24"/>
      <c r="B370" s="24"/>
    </row>
    <row r="371" spans="1:2" ht="13.5" customHeight="1" x14ac:dyDescent="0.2">
      <c r="A371" s="24"/>
      <c r="B371" s="24"/>
    </row>
    <row r="372" spans="1:2" ht="13.5" customHeight="1" x14ac:dyDescent="0.2">
      <c r="A372" s="24"/>
      <c r="B372" s="24"/>
    </row>
    <row r="373" spans="1:2" ht="13.5" customHeight="1" x14ac:dyDescent="0.2">
      <c r="A373" s="24"/>
      <c r="B373" s="24"/>
    </row>
    <row r="374" spans="1:2" ht="13.5" customHeight="1" x14ac:dyDescent="0.2">
      <c r="A374" s="24"/>
      <c r="B374" s="24"/>
    </row>
    <row r="375" spans="1:2" ht="13.5" customHeight="1" x14ac:dyDescent="0.2">
      <c r="A375" s="24"/>
      <c r="B375" s="24"/>
    </row>
    <row r="376" spans="1:2" ht="13.5" customHeight="1" x14ac:dyDescent="0.2">
      <c r="A376" s="24"/>
      <c r="B376" s="24"/>
    </row>
    <row r="377" spans="1:2" ht="13.5" customHeight="1" x14ac:dyDescent="0.2">
      <c r="A377" s="24"/>
      <c r="B377" s="24"/>
    </row>
    <row r="378" spans="1:2" ht="13.5" customHeight="1" x14ac:dyDescent="0.2">
      <c r="A378" s="24"/>
      <c r="B378" s="24"/>
    </row>
    <row r="379" spans="1:2" ht="13.5" customHeight="1" x14ac:dyDescent="0.2">
      <c r="A379" s="24"/>
      <c r="B379" s="24"/>
    </row>
    <row r="380" spans="1:2" ht="13.5" customHeight="1" x14ac:dyDescent="0.2">
      <c r="A380" s="24"/>
      <c r="B380" s="24"/>
    </row>
    <row r="381" spans="1:2" ht="13.5" customHeight="1" x14ac:dyDescent="0.2">
      <c r="A381" s="24"/>
      <c r="B381" s="24"/>
    </row>
    <row r="382" spans="1:2" ht="13.5" customHeight="1" x14ac:dyDescent="0.2">
      <c r="A382" s="24"/>
      <c r="B382" s="24"/>
    </row>
    <row r="383" spans="1:2" ht="13.5" customHeight="1" x14ac:dyDescent="0.2">
      <c r="A383" s="24"/>
      <c r="B383" s="24"/>
    </row>
    <row r="384" spans="1:2" ht="13.5" customHeight="1" x14ac:dyDescent="0.2">
      <c r="A384" s="24"/>
      <c r="B384" s="24"/>
    </row>
    <row r="385" spans="1:2" ht="13.5" customHeight="1" x14ac:dyDescent="0.2">
      <c r="A385" s="24"/>
      <c r="B385" s="24"/>
    </row>
    <row r="386" spans="1:2" ht="13.5" customHeight="1" x14ac:dyDescent="0.2">
      <c r="A386" s="24"/>
      <c r="B386" s="24"/>
    </row>
    <row r="387" spans="1:2" ht="13.5" customHeight="1" x14ac:dyDescent="0.2">
      <c r="A387" s="24"/>
      <c r="B387" s="24"/>
    </row>
    <row r="388" spans="1:2" ht="13.5" customHeight="1" x14ac:dyDescent="0.2">
      <c r="A388" s="24"/>
      <c r="B388" s="24"/>
    </row>
    <row r="389" spans="1:2" ht="13.5" customHeight="1" x14ac:dyDescent="0.2">
      <c r="A389" s="24"/>
      <c r="B389" s="24"/>
    </row>
    <row r="390" spans="1:2" ht="13.5" customHeight="1" x14ac:dyDescent="0.2">
      <c r="A390" s="24"/>
      <c r="B390" s="24"/>
    </row>
    <row r="391" spans="1:2" ht="13.5" customHeight="1" x14ac:dyDescent="0.2">
      <c r="A391" s="24"/>
      <c r="B391" s="24"/>
    </row>
    <row r="392" spans="1:2" ht="13.5" customHeight="1" x14ac:dyDescent="0.2">
      <c r="A392" s="24"/>
      <c r="B392" s="24"/>
    </row>
    <row r="393" spans="1:2" ht="13.5" customHeight="1" x14ac:dyDescent="0.2">
      <c r="A393" s="24"/>
      <c r="B393" s="24"/>
    </row>
    <row r="394" spans="1:2" ht="13.5" customHeight="1" x14ac:dyDescent="0.2">
      <c r="A394" s="24"/>
      <c r="B394" s="24"/>
    </row>
    <row r="395" spans="1:2" ht="13.5" customHeight="1" x14ac:dyDescent="0.2">
      <c r="A395" s="24"/>
      <c r="B395" s="24"/>
    </row>
    <row r="396" spans="1:2" ht="13.5" customHeight="1" x14ac:dyDescent="0.2">
      <c r="A396" s="24"/>
      <c r="B396" s="24"/>
    </row>
    <row r="397" spans="1:2" ht="13.5" customHeight="1" x14ac:dyDescent="0.2">
      <c r="A397" s="24"/>
      <c r="B397" s="24"/>
    </row>
    <row r="398" spans="1:2" ht="13.5" customHeight="1" x14ac:dyDescent="0.2">
      <c r="A398" s="24"/>
      <c r="B398" s="24"/>
    </row>
    <row r="399" spans="1:2" ht="13.5" customHeight="1" x14ac:dyDescent="0.2">
      <c r="A399" s="24"/>
      <c r="B399" s="24"/>
    </row>
    <row r="400" spans="1:2" ht="13.5" customHeight="1" x14ac:dyDescent="0.2">
      <c r="A400" s="24"/>
      <c r="B400" s="24"/>
    </row>
    <row r="401" spans="1:2" ht="13.5" customHeight="1" x14ac:dyDescent="0.2">
      <c r="A401" s="24"/>
      <c r="B401" s="24"/>
    </row>
    <row r="402" spans="1:2" ht="13.5" customHeight="1" x14ac:dyDescent="0.2">
      <c r="A402" s="24"/>
      <c r="B402" s="24"/>
    </row>
    <row r="403" spans="1:2" ht="13.5" customHeight="1" x14ac:dyDescent="0.2">
      <c r="A403" s="24"/>
      <c r="B403" s="24"/>
    </row>
    <row r="404" spans="1:2" ht="13.5" customHeight="1" x14ac:dyDescent="0.2">
      <c r="A404" s="24"/>
      <c r="B404" s="24"/>
    </row>
    <row r="405" spans="1:2" ht="13.5" customHeight="1" x14ac:dyDescent="0.2">
      <c r="A405" s="24"/>
      <c r="B405" s="24"/>
    </row>
    <row r="406" spans="1:2" ht="13.5" customHeight="1" x14ac:dyDescent="0.2">
      <c r="A406" s="24"/>
      <c r="B406" s="24"/>
    </row>
    <row r="407" spans="1:2" ht="13.5" customHeight="1" x14ac:dyDescent="0.2">
      <c r="A407" s="24"/>
      <c r="B407" s="24"/>
    </row>
    <row r="408" spans="1:2" ht="13.5" customHeight="1" x14ac:dyDescent="0.2">
      <c r="A408" s="24"/>
      <c r="B408" s="24"/>
    </row>
    <row r="409" spans="1:2" ht="13.5" customHeight="1" x14ac:dyDescent="0.2">
      <c r="A409" s="24"/>
      <c r="B409" s="24"/>
    </row>
    <row r="410" spans="1:2" ht="13.5" customHeight="1" x14ac:dyDescent="0.2">
      <c r="A410" s="24"/>
      <c r="B410" s="24"/>
    </row>
    <row r="411" spans="1:2" ht="13.5" customHeight="1" x14ac:dyDescent="0.2">
      <c r="A411" s="24"/>
      <c r="B411" s="24"/>
    </row>
    <row r="412" spans="1:2" ht="13.5" customHeight="1" x14ac:dyDescent="0.2">
      <c r="A412" s="24"/>
      <c r="B412" s="24"/>
    </row>
    <row r="413" spans="1:2" ht="13.5" customHeight="1" x14ac:dyDescent="0.2">
      <c r="A413" s="24"/>
      <c r="B413" s="24"/>
    </row>
    <row r="414" spans="1:2" ht="13.5" customHeight="1" x14ac:dyDescent="0.2">
      <c r="A414" s="24"/>
      <c r="B414" s="24"/>
    </row>
    <row r="415" spans="1:2" ht="13.5" customHeight="1" x14ac:dyDescent="0.2">
      <c r="A415" s="24"/>
      <c r="B415" s="24"/>
    </row>
    <row r="416" spans="1:2" ht="13.5" customHeight="1" x14ac:dyDescent="0.2">
      <c r="A416" s="24"/>
      <c r="B416" s="24"/>
    </row>
    <row r="417" spans="1:2" ht="13.5" customHeight="1" x14ac:dyDescent="0.2">
      <c r="A417" s="24"/>
      <c r="B417" s="24"/>
    </row>
    <row r="418" spans="1:2" ht="13.5" customHeight="1" x14ac:dyDescent="0.2">
      <c r="A418" s="24"/>
      <c r="B418" s="24"/>
    </row>
    <row r="419" spans="1:2" ht="13.5" customHeight="1" x14ac:dyDescent="0.2">
      <c r="A419" s="24"/>
      <c r="B419" s="24"/>
    </row>
    <row r="420" spans="1:2" ht="13.5" customHeight="1" x14ac:dyDescent="0.2">
      <c r="A420" s="24"/>
      <c r="B420" s="24"/>
    </row>
    <row r="421" spans="1:2" ht="13.5" customHeight="1" x14ac:dyDescent="0.2">
      <c r="A421" s="24"/>
      <c r="B421" s="24"/>
    </row>
    <row r="422" spans="1:2" ht="13.5" customHeight="1" x14ac:dyDescent="0.2">
      <c r="A422" s="24"/>
      <c r="B422" s="24"/>
    </row>
    <row r="423" spans="1:2" ht="13.5" customHeight="1" x14ac:dyDescent="0.2">
      <c r="A423" s="24"/>
      <c r="B423" s="24"/>
    </row>
    <row r="424" spans="1:2" ht="13.5" customHeight="1" x14ac:dyDescent="0.2">
      <c r="A424" s="24"/>
      <c r="B424" s="24"/>
    </row>
    <row r="425" spans="1:2" ht="13.5" customHeight="1" x14ac:dyDescent="0.2">
      <c r="A425" s="24"/>
      <c r="B425" s="24"/>
    </row>
    <row r="426" spans="1:2" ht="13.5" customHeight="1" x14ac:dyDescent="0.2">
      <c r="A426" s="24"/>
      <c r="B426" s="24"/>
    </row>
    <row r="427" spans="1:2" ht="13.5" customHeight="1" x14ac:dyDescent="0.2">
      <c r="A427" s="24"/>
      <c r="B427" s="24"/>
    </row>
    <row r="428" spans="1:2" ht="13.5" customHeight="1" x14ac:dyDescent="0.2">
      <c r="A428" s="24"/>
      <c r="B428" s="24"/>
    </row>
    <row r="429" spans="1:2" ht="13.5" customHeight="1" x14ac:dyDescent="0.2">
      <c r="A429" s="24"/>
      <c r="B429" s="24"/>
    </row>
    <row r="430" spans="1:2" ht="13.5" customHeight="1" x14ac:dyDescent="0.2">
      <c r="A430" s="24"/>
      <c r="B430" s="24"/>
    </row>
    <row r="431" spans="1:2" ht="13.5" customHeight="1" x14ac:dyDescent="0.2">
      <c r="A431" s="24"/>
      <c r="B431" s="24"/>
    </row>
    <row r="432" spans="1:2" ht="13.5" customHeight="1" x14ac:dyDescent="0.2">
      <c r="A432" s="24"/>
      <c r="B432" s="24"/>
    </row>
    <row r="433" spans="1:2" ht="13.5" customHeight="1" x14ac:dyDescent="0.2">
      <c r="A433" s="24"/>
      <c r="B433" s="24"/>
    </row>
    <row r="434" spans="1:2" ht="13.5" customHeight="1" x14ac:dyDescent="0.2">
      <c r="A434" s="24"/>
      <c r="B434" s="24"/>
    </row>
    <row r="435" spans="1:2" ht="13.5" customHeight="1" x14ac:dyDescent="0.2">
      <c r="A435" s="24"/>
      <c r="B435" s="24"/>
    </row>
    <row r="436" spans="1:2" ht="13.5" customHeight="1" x14ac:dyDescent="0.2">
      <c r="A436" s="24"/>
      <c r="B436" s="24"/>
    </row>
    <row r="437" spans="1:2" ht="13.5" customHeight="1" x14ac:dyDescent="0.2">
      <c r="A437" s="24"/>
      <c r="B437" s="24"/>
    </row>
    <row r="438" spans="1:2" ht="13.5" customHeight="1" x14ac:dyDescent="0.2">
      <c r="A438" s="24"/>
      <c r="B438" s="24"/>
    </row>
    <row r="439" spans="1:2" ht="13.5" customHeight="1" x14ac:dyDescent="0.2">
      <c r="A439" s="24"/>
      <c r="B439" s="24"/>
    </row>
    <row r="440" spans="1:2" ht="13.5" customHeight="1" x14ac:dyDescent="0.2">
      <c r="A440" s="24"/>
      <c r="B440" s="24"/>
    </row>
    <row r="441" spans="1:2" ht="13.5" customHeight="1" x14ac:dyDescent="0.2">
      <c r="A441" s="24"/>
      <c r="B441" s="24"/>
    </row>
    <row r="442" spans="1:2" ht="13.5" customHeight="1" x14ac:dyDescent="0.2">
      <c r="A442" s="24"/>
      <c r="B442" s="24"/>
    </row>
    <row r="443" spans="1:2" ht="13.5" customHeight="1" x14ac:dyDescent="0.2">
      <c r="A443" s="24"/>
      <c r="B443" s="24"/>
    </row>
    <row r="444" spans="1:2" ht="13.5" customHeight="1" x14ac:dyDescent="0.2">
      <c r="A444" s="24"/>
      <c r="B444" s="24"/>
    </row>
    <row r="445" spans="1:2" ht="13.5" customHeight="1" x14ac:dyDescent="0.2">
      <c r="A445" s="24"/>
      <c r="B445" s="24"/>
    </row>
    <row r="446" spans="1:2" ht="13.5" customHeight="1" x14ac:dyDescent="0.2">
      <c r="A446" s="24"/>
      <c r="B446" s="24"/>
    </row>
    <row r="447" spans="1:2" ht="13.5" customHeight="1" x14ac:dyDescent="0.2">
      <c r="A447" s="24"/>
      <c r="B447" s="24"/>
    </row>
    <row r="448" spans="1:2" ht="13.5" customHeight="1" x14ac:dyDescent="0.2">
      <c r="A448" s="24"/>
      <c r="B448" s="24"/>
    </row>
    <row r="449" spans="1:2" ht="13.5" customHeight="1" x14ac:dyDescent="0.2">
      <c r="A449" s="24"/>
      <c r="B449" s="24"/>
    </row>
    <row r="450" spans="1:2" ht="13.5" customHeight="1" x14ac:dyDescent="0.2">
      <c r="A450" s="24"/>
      <c r="B450" s="24"/>
    </row>
    <row r="451" spans="1:2" ht="13.5" customHeight="1" x14ac:dyDescent="0.2">
      <c r="A451" s="24"/>
      <c r="B451" s="24"/>
    </row>
    <row r="452" spans="1:2" ht="13.5" customHeight="1" x14ac:dyDescent="0.2">
      <c r="A452" s="24"/>
      <c r="B452" s="24"/>
    </row>
    <row r="453" spans="1:2" ht="13.5" customHeight="1" x14ac:dyDescent="0.2">
      <c r="A453" s="24"/>
      <c r="B453" s="24"/>
    </row>
    <row r="454" spans="1:2" ht="13.5" customHeight="1" x14ac:dyDescent="0.2">
      <c r="A454" s="24"/>
      <c r="B454" s="24"/>
    </row>
    <row r="455" spans="1:2" ht="13.5" customHeight="1" x14ac:dyDescent="0.2">
      <c r="A455" s="24"/>
      <c r="B455" s="24"/>
    </row>
    <row r="456" spans="1:2" ht="13.5" customHeight="1" x14ac:dyDescent="0.2">
      <c r="A456" s="24"/>
      <c r="B456" s="24"/>
    </row>
    <row r="457" spans="1:2" ht="13.5" customHeight="1" x14ac:dyDescent="0.2">
      <c r="A457" s="24"/>
      <c r="B457" s="24"/>
    </row>
    <row r="458" spans="1:2" ht="13.5" customHeight="1" x14ac:dyDescent="0.2">
      <c r="A458" s="24"/>
      <c r="B458" s="24"/>
    </row>
    <row r="459" spans="1:2" ht="13.5" customHeight="1" x14ac:dyDescent="0.2">
      <c r="A459" s="24"/>
      <c r="B459" s="24"/>
    </row>
    <row r="460" spans="1:2" ht="13.5" customHeight="1" x14ac:dyDescent="0.2">
      <c r="A460" s="24"/>
      <c r="B460" s="24"/>
    </row>
    <row r="461" spans="1:2" ht="13.5" customHeight="1" x14ac:dyDescent="0.2">
      <c r="A461" s="24"/>
      <c r="B461" s="24"/>
    </row>
    <row r="462" spans="1:2" ht="13.5" customHeight="1" x14ac:dyDescent="0.2">
      <c r="A462" s="24"/>
      <c r="B462" s="24"/>
    </row>
    <row r="463" spans="1:2" ht="13.5" customHeight="1" x14ac:dyDescent="0.2">
      <c r="A463" s="24"/>
      <c r="B463" s="24"/>
    </row>
    <row r="464" spans="1:2" ht="13.5" customHeight="1" x14ac:dyDescent="0.2">
      <c r="A464" s="24"/>
      <c r="B464" s="24"/>
    </row>
    <row r="465" spans="1:2" ht="13.5" customHeight="1" x14ac:dyDescent="0.2">
      <c r="A465" s="24"/>
      <c r="B465" s="24"/>
    </row>
    <row r="466" spans="1:2" ht="13.5" customHeight="1" x14ac:dyDescent="0.2">
      <c r="A466" s="24"/>
      <c r="B466" s="24"/>
    </row>
    <row r="467" spans="1:2" ht="13.5" customHeight="1" x14ac:dyDescent="0.2">
      <c r="A467" s="24"/>
      <c r="B467" s="24"/>
    </row>
    <row r="468" spans="1:2" ht="13.5" customHeight="1" x14ac:dyDescent="0.2">
      <c r="A468" s="24"/>
      <c r="B468" s="24"/>
    </row>
    <row r="469" spans="1:2" ht="13.5" customHeight="1" x14ac:dyDescent="0.2">
      <c r="A469" s="24"/>
      <c r="B469" s="24"/>
    </row>
    <row r="470" spans="1:2" ht="13.5" customHeight="1" x14ac:dyDescent="0.2">
      <c r="A470" s="24"/>
      <c r="B470" s="24"/>
    </row>
    <row r="471" spans="1:2" ht="13.5" customHeight="1" x14ac:dyDescent="0.2">
      <c r="A471" s="24"/>
      <c r="B471" s="24"/>
    </row>
    <row r="472" spans="1:2" ht="13.5" customHeight="1" x14ac:dyDescent="0.2">
      <c r="A472" s="24"/>
      <c r="B472" s="24"/>
    </row>
    <row r="473" spans="1:2" ht="13.5" customHeight="1" x14ac:dyDescent="0.2">
      <c r="A473" s="24"/>
      <c r="B473" s="24"/>
    </row>
    <row r="474" spans="1:2" ht="13.5" customHeight="1" x14ac:dyDescent="0.2">
      <c r="A474" s="24"/>
      <c r="B474" s="24"/>
    </row>
    <row r="475" spans="1:2" ht="13.5" customHeight="1" x14ac:dyDescent="0.2">
      <c r="A475" s="24"/>
      <c r="B475" s="24"/>
    </row>
    <row r="476" spans="1:2" ht="13.5" customHeight="1" x14ac:dyDescent="0.2">
      <c r="A476" s="24"/>
      <c r="B476" s="24"/>
    </row>
    <row r="477" spans="1:2" ht="13.5" customHeight="1" x14ac:dyDescent="0.2">
      <c r="A477" s="24"/>
      <c r="B477" s="24"/>
    </row>
    <row r="478" spans="1:2" ht="13.5" customHeight="1" x14ac:dyDescent="0.2">
      <c r="A478" s="24"/>
      <c r="B478" s="24"/>
    </row>
    <row r="479" spans="1:2" ht="13.5" customHeight="1" x14ac:dyDescent="0.2">
      <c r="A479" s="24"/>
      <c r="B479" s="24"/>
    </row>
    <row r="480" spans="1:2" ht="13.5" customHeight="1" x14ac:dyDescent="0.2">
      <c r="A480" s="24"/>
      <c r="B480" s="24"/>
    </row>
    <row r="481" spans="1:2" ht="13.5" customHeight="1" x14ac:dyDescent="0.2">
      <c r="A481" s="24"/>
      <c r="B481" s="24"/>
    </row>
    <row r="482" spans="1:2" ht="13.5" customHeight="1" x14ac:dyDescent="0.2">
      <c r="A482" s="24"/>
      <c r="B482" s="24"/>
    </row>
    <row r="483" spans="1:2" ht="13.5" customHeight="1" x14ac:dyDescent="0.2">
      <c r="A483" s="24"/>
      <c r="B483" s="24"/>
    </row>
    <row r="484" spans="1:2" ht="13.5" customHeight="1" x14ac:dyDescent="0.2">
      <c r="A484" s="24"/>
      <c r="B484" s="24"/>
    </row>
    <row r="485" spans="1:2" ht="13.5" customHeight="1" x14ac:dyDescent="0.2">
      <c r="A485" s="24"/>
      <c r="B485" s="24"/>
    </row>
    <row r="486" spans="1:2" ht="13.5" customHeight="1" x14ac:dyDescent="0.2">
      <c r="A486" s="24"/>
      <c r="B486" s="24"/>
    </row>
    <row r="487" spans="1:2" ht="13.5" customHeight="1" x14ac:dyDescent="0.2">
      <c r="A487" s="24"/>
      <c r="B487" s="24"/>
    </row>
    <row r="488" spans="1:2" ht="13.5" customHeight="1" x14ac:dyDescent="0.2">
      <c r="A488" s="24"/>
      <c r="B488" s="24"/>
    </row>
    <row r="489" spans="1:2" ht="13.5" customHeight="1" x14ac:dyDescent="0.2">
      <c r="A489" s="24"/>
      <c r="B489" s="24"/>
    </row>
    <row r="490" spans="1:2" ht="13.5" customHeight="1" x14ac:dyDescent="0.2">
      <c r="A490" s="24"/>
      <c r="B490" s="24"/>
    </row>
    <row r="491" spans="1:2" ht="13.5" customHeight="1" x14ac:dyDescent="0.2">
      <c r="A491" s="24"/>
      <c r="B491" s="24"/>
    </row>
    <row r="492" spans="1:2" ht="13.5" customHeight="1" x14ac:dyDescent="0.2">
      <c r="A492" s="24"/>
      <c r="B492" s="24"/>
    </row>
    <row r="493" spans="1:2" ht="13.5" customHeight="1" x14ac:dyDescent="0.2">
      <c r="A493" s="24"/>
      <c r="B493" s="24"/>
    </row>
    <row r="494" spans="1:2" ht="13.5" customHeight="1" x14ac:dyDescent="0.2">
      <c r="A494" s="24"/>
      <c r="B494" s="24"/>
    </row>
    <row r="495" spans="1:2" ht="13.5" customHeight="1" x14ac:dyDescent="0.2">
      <c r="A495" s="24"/>
      <c r="B495" s="24"/>
    </row>
    <row r="496" spans="1:2" ht="13.5" customHeight="1" x14ac:dyDescent="0.2">
      <c r="A496" s="24"/>
      <c r="B496" s="24"/>
    </row>
    <row r="497" spans="1:2" ht="13.5" customHeight="1" x14ac:dyDescent="0.2">
      <c r="A497" s="24"/>
      <c r="B497" s="24"/>
    </row>
    <row r="498" spans="1:2" ht="13.5" customHeight="1" x14ac:dyDescent="0.2">
      <c r="A498" s="24"/>
      <c r="B498" s="24"/>
    </row>
    <row r="499" spans="1:2" ht="13.5" customHeight="1" x14ac:dyDescent="0.2">
      <c r="A499" s="24"/>
      <c r="B499" s="24"/>
    </row>
    <row r="500" spans="1:2" ht="13.5" customHeight="1" x14ac:dyDescent="0.2">
      <c r="A500" s="24"/>
      <c r="B500" s="24"/>
    </row>
    <row r="501" spans="1:2" ht="13.5" customHeight="1" x14ac:dyDescent="0.2">
      <c r="A501" s="24"/>
      <c r="B501" s="24"/>
    </row>
    <row r="502" spans="1:2" ht="13.5" customHeight="1" x14ac:dyDescent="0.2">
      <c r="A502" s="24"/>
      <c r="B502" s="24"/>
    </row>
    <row r="503" spans="1:2" ht="13.5" customHeight="1" x14ac:dyDescent="0.2">
      <c r="A503" s="24"/>
      <c r="B503" s="24"/>
    </row>
    <row r="504" spans="1:2" ht="13.5" customHeight="1" x14ac:dyDescent="0.2">
      <c r="A504" s="24"/>
      <c r="B504" s="24"/>
    </row>
    <row r="505" spans="1:2" ht="13.5" customHeight="1" x14ac:dyDescent="0.2">
      <c r="A505" s="24"/>
      <c r="B505" s="24"/>
    </row>
    <row r="506" spans="1:2" ht="13.5" customHeight="1" x14ac:dyDescent="0.2">
      <c r="A506" s="24"/>
      <c r="B506" s="24"/>
    </row>
    <row r="507" spans="1:2" ht="13.5" customHeight="1" x14ac:dyDescent="0.2">
      <c r="A507" s="24"/>
      <c r="B507" s="24"/>
    </row>
    <row r="508" spans="1:2" ht="13.5" customHeight="1" x14ac:dyDescent="0.2">
      <c r="A508" s="24"/>
      <c r="B508" s="24"/>
    </row>
    <row r="509" spans="1:2" ht="13.5" customHeight="1" x14ac:dyDescent="0.2">
      <c r="A509" s="24"/>
      <c r="B509" s="24"/>
    </row>
    <row r="510" spans="1:2" ht="13.5" customHeight="1" x14ac:dyDescent="0.2">
      <c r="A510" s="24"/>
      <c r="B510" s="24"/>
    </row>
    <row r="511" spans="1:2" ht="13.5" customHeight="1" x14ac:dyDescent="0.2">
      <c r="A511" s="24"/>
      <c r="B511" s="24"/>
    </row>
    <row r="512" spans="1:2" ht="13.5" customHeight="1" x14ac:dyDescent="0.2">
      <c r="A512" s="24"/>
      <c r="B512" s="24"/>
    </row>
    <row r="513" spans="1:2" ht="13.5" customHeight="1" x14ac:dyDescent="0.2">
      <c r="A513" s="24"/>
      <c r="B513" s="24"/>
    </row>
    <row r="514" spans="1:2" ht="13.5" customHeight="1" x14ac:dyDescent="0.2">
      <c r="A514" s="24"/>
      <c r="B514" s="24"/>
    </row>
    <row r="515" spans="1:2" ht="13.5" customHeight="1" x14ac:dyDescent="0.2">
      <c r="A515" s="24"/>
      <c r="B515" s="24"/>
    </row>
    <row r="516" spans="1:2" ht="13.5" customHeight="1" x14ac:dyDescent="0.2">
      <c r="A516" s="24"/>
      <c r="B516" s="24"/>
    </row>
    <row r="517" spans="1:2" ht="13.5" customHeight="1" x14ac:dyDescent="0.2">
      <c r="A517" s="24"/>
      <c r="B517" s="24"/>
    </row>
    <row r="518" spans="1:2" ht="13.5" customHeight="1" x14ac:dyDescent="0.2">
      <c r="A518" s="24"/>
      <c r="B518" s="24"/>
    </row>
    <row r="519" spans="1:2" ht="13.5" customHeight="1" x14ac:dyDescent="0.2">
      <c r="A519" s="24"/>
      <c r="B519" s="24"/>
    </row>
    <row r="520" spans="1:2" ht="13.5" customHeight="1" x14ac:dyDescent="0.2">
      <c r="A520" s="24"/>
      <c r="B520" s="24"/>
    </row>
    <row r="521" spans="1:2" ht="13.5" customHeight="1" x14ac:dyDescent="0.2">
      <c r="A521" s="24"/>
      <c r="B521" s="24"/>
    </row>
    <row r="522" spans="1:2" ht="13.5" customHeight="1" x14ac:dyDescent="0.2">
      <c r="A522" s="24"/>
      <c r="B522" s="24"/>
    </row>
    <row r="523" spans="1:2" ht="13.5" customHeight="1" x14ac:dyDescent="0.2">
      <c r="A523" s="24"/>
      <c r="B523" s="24"/>
    </row>
    <row r="524" spans="1:2" ht="13.5" customHeight="1" x14ac:dyDescent="0.2">
      <c r="A524" s="24"/>
      <c r="B524" s="24"/>
    </row>
    <row r="525" spans="1:2" ht="13.5" customHeight="1" x14ac:dyDescent="0.2">
      <c r="A525" s="24"/>
      <c r="B525" s="24"/>
    </row>
    <row r="526" spans="1:2" ht="13.5" customHeight="1" x14ac:dyDescent="0.2">
      <c r="A526" s="24"/>
      <c r="B526" s="24"/>
    </row>
    <row r="527" spans="1:2" ht="13.5" customHeight="1" x14ac:dyDescent="0.2">
      <c r="A527" s="24"/>
      <c r="B527" s="24"/>
    </row>
    <row r="528" spans="1:2" ht="13.5" customHeight="1" x14ac:dyDescent="0.2">
      <c r="A528" s="24"/>
      <c r="B528" s="24"/>
    </row>
    <row r="529" spans="1:2" ht="13.5" customHeight="1" x14ac:dyDescent="0.2">
      <c r="A529" s="24"/>
      <c r="B529" s="24"/>
    </row>
    <row r="530" spans="1:2" ht="13.5" customHeight="1" x14ac:dyDescent="0.2">
      <c r="A530" s="24"/>
      <c r="B530" s="24"/>
    </row>
    <row r="531" spans="1:2" ht="13.5" customHeight="1" x14ac:dyDescent="0.2">
      <c r="A531" s="24"/>
      <c r="B531" s="24"/>
    </row>
    <row r="532" spans="1:2" ht="13.5" customHeight="1" x14ac:dyDescent="0.2">
      <c r="A532" s="24"/>
      <c r="B532" s="24"/>
    </row>
    <row r="533" spans="1:2" ht="13.5" customHeight="1" x14ac:dyDescent="0.2">
      <c r="A533" s="24"/>
      <c r="B533" s="24"/>
    </row>
    <row r="534" spans="1:2" ht="13.5" customHeight="1" x14ac:dyDescent="0.2">
      <c r="A534" s="24"/>
      <c r="B534" s="24"/>
    </row>
    <row r="535" spans="1:2" ht="13.5" customHeight="1" x14ac:dyDescent="0.2">
      <c r="A535" s="24"/>
      <c r="B535" s="24"/>
    </row>
    <row r="536" spans="1:2" ht="13.5" customHeight="1" x14ac:dyDescent="0.2">
      <c r="A536" s="24"/>
      <c r="B536" s="24"/>
    </row>
    <row r="537" spans="1:2" ht="13.5" customHeight="1" x14ac:dyDescent="0.2">
      <c r="A537" s="24"/>
      <c r="B537" s="24"/>
    </row>
    <row r="538" spans="1:2" ht="13.5" customHeight="1" x14ac:dyDescent="0.2">
      <c r="A538" s="24"/>
      <c r="B538" s="24"/>
    </row>
    <row r="539" spans="1:2" ht="13.5" customHeight="1" x14ac:dyDescent="0.2">
      <c r="A539" s="24"/>
      <c r="B539" s="24"/>
    </row>
    <row r="540" spans="1:2" ht="13.5" customHeight="1" x14ac:dyDescent="0.2">
      <c r="A540" s="24"/>
      <c r="B540" s="24"/>
    </row>
    <row r="541" spans="1:2" ht="13.5" customHeight="1" x14ac:dyDescent="0.2">
      <c r="A541" s="24"/>
      <c r="B541" s="24"/>
    </row>
    <row r="542" spans="1:2" ht="13.5" customHeight="1" x14ac:dyDescent="0.2">
      <c r="A542" s="24"/>
      <c r="B542" s="24"/>
    </row>
    <row r="543" spans="1:2" ht="13.5" customHeight="1" x14ac:dyDescent="0.2">
      <c r="A543" s="24"/>
      <c r="B543" s="24"/>
    </row>
    <row r="544" spans="1:2" ht="13.5" customHeight="1" x14ac:dyDescent="0.2">
      <c r="A544" s="24"/>
      <c r="B544" s="24"/>
    </row>
    <row r="545" spans="1:2" ht="13.5" customHeight="1" x14ac:dyDescent="0.2">
      <c r="A545" s="24"/>
      <c r="B545" s="24"/>
    </row>
    <row r="546" spans="1:2" ht="13.5" customHeight="1" x14ac:dyDescent="0.2">
      <c r="A546" s="24"/>
      <c r="B546" s="24"/>
    </row>
    <row r="547" spans="1:2" ht="13.5" customHeight="1" x14ac:dyDescent="0.2">
      <c r="A547" s="24"/>
      <c r="B547" s="24"/>
    </row>
    <row r="548" spans="1:2" ht="13.5" customHeight="1" x14ac:dyDescent="0.2">
      <c r="A548" s="24"/>
      <c r="B548" s="24"/>
    </row>
    <row r="549" spans="1:2" ht="13.5" customHeight="1" x14ac:dyDescent="0.2">
      <c r="A549" s="24"/>
      <c r="B549" s="24"/>
    </row>
    <row r="550" spans="1:2" ht="13.5" customHeight="1" x14ac:dyDescent="0.2">
      <c r="A550" s="24"/>
      <c r="B550" s="24"/>
    </row>
    <row r="551" spans="1:2" ht="13.5" customHeight="1" x14ac:dyDescent="0.2">
      <c r="A551" s="24"/>
      <c r="B551" s="24"/>
    </row>
    <row r="552" spans="1:2" ht="13.5" customHeight="1" x14ac:dyDescent="0.2">
      <c r="A552" s="24"/>
      <c r="B552" s="24"/>
    </row>
    <row r="553" spans="1:2" ht="13.5" customHeight="1" x14ac:dyDescent="0.2">
      <c r="A553" s="24"/>
      <c r="B553" s="24"/>
    </row>
    <row r="554" spans="1:2" ht="13.5" customHeight="1" x14ac:dyDescent="0.2">
      <c r="A554" s="24"/>
      <c r="B554" s="24"/>
    </row>
    <row r="555" spans="1:2" ht="13.5" customHeight="1" x14ac:dyDescent="0.2">
      <c r="A555" s="24"/>
      <c r="B555" s="24"/>
    </row>
    <row r="556" spans="1:2" ht="13.5" customHeight="1" x14ac:dyDescent="0.2">
      <c r="A556" s="24"/>
      <c r="B556" s="24"/>
    </row>
    <row r="557" spans="1:2" ht="13.5" customHeight="1" x14ac:dyDescent="0.2">
      <c r="A557" s="24"/>
      <c r="B557" s="24"/>
    </row>
    <row r="558" spans="1:2" ht="13.5" customHeight="1" x14ac:dyDescent="0.2">
      <c r="A558" s="24"/>
      <c r="B558" s="24"/>
    </row>
    <row r="559" spans="1:2" ht="13.5" customHeight="1" x14ac:dyDescent="0.2">
      <c r="A559" s="24"/>
      <c r="B559" s="24"/>
    </row>
    <row r="560" spans="1:2" ht="13.5" customHeight="1" x14ac:dyDescent="0.2">
      <c r="A560" s="24"/>
      <c r="B560" s="24"/>
    </row>
    <row r="561" spans="1:2" ht="13.5" customHeight="1" x14ac:dyDescent="0.2">
      <c r="A561" s="24"/>
      <c r="B561" s="24"/>
    </row>
    <row r="562" spans="1:2" ht="13.5" customHeight="1" x14ac:dyDescent="0.2">
      <c r="A562" s="24"/>
      <c r="B562" s="24"/>
    </row>
    <row r="563" spans="1:2" ht="13.5" customHeight="1" x14ac:dyDescent="0.2">
      <c r="A563" s="24"/>
      <c r="B563" s="24"/>
    </row>
    <row r="564" spans="1:2" ht="13.5" customHeight="1" x14ac:dyDescent="0.2">
      <c r="A564" s="24"/>
      <c r="B564" s="24"/>
    </row>
    <row r="565" spans="1:2" ht="13.5" customHeight="1" x14ac:dyDescent="0.2">
      <c r="A565" s="24"/>
      <c r="B565" s="24"/>
    </row>
    <row r="566" spans="1:2" ht="13.5" customHeight="1" x14ac:dyDescent="0.2">
      <c r="A566" s="24"/>
      <c r="B566" s="24"/>
    </row>
    <row r="567" spans="1:2" ht="13.5" customHeight="1" x14ac:dyDescent="0.2">
      <c r="A567" s="24"/>
      <c r="B567" s="24"/>
    </row>
    <row r="568" spans="1:2" ht="13.5" customHeight="1" x14ac:dyDescent="0.2">
      <c r="A568" s="24"/>
      <c r="B568" s="24"/>
    </row>
    <row r="569" spans="1:2" ht="13.5" customHeight="1" x14ac:dyDescent="0.2">
      <c r="A569" s="24"/>
      <c r="B569" s="24"/>
    </row>
    <row r="570" spans="1:2" ht="13.5" customHeight="1" x14ac:dyDescent="0.2">
      <c r="A570" s="24"/>
      <c r="B570" s="24"/>
    </row>
    <row r="571" spans="1:2" ht="13.5" customHeight="1" x14ac:dyDescent="0.2">
      <c r="A571" s="24"/>
      <c r="B571" s="24"/>
    </row>
    <row r="572" spans="1:2" ht="13.5" customHeight="1" x14ac:dyDescent="0.2">
      <c r="A572" s="24"/>
      <c r="B572" s="24"/>
    </row>
    <row r="573" spans="1:2" ht="13.5" customHeight="1" x14ac:dyDescent="0.2">
      <c r="A573" s="24"/>
      <c r="B573" s="24"/>
    </row>
    <row r="574" spans="1:2" ht="13.5" customHeight="1" x14ac:dyDescent="0.2">
      <c r="A574" s="24"/>
      <c r="B574" s="24"/>
    </row>
    <row r="575" spans="1:2" ht="13.5" customHeight="1" x14ac:dyDescent="0.2">
      <c r="A575" s="24"/>
      <c r="B575" s="24"/>
    </row>
    <row r="576" spans="1:2" ht="13.5" customHeight="1" x14ac:dyDescent="0.2">
      <c r="A576" s="24"/>
      <c r="B576" s="24"/>
    </row>
    <row r="577" spans="1:2" ht="13.5" customHeight="1" x14ac:dyDescent="0.2">
      <c r="A577" s="24"/>
      <c r="B577" s="24"/>
    </row>
    <row r="578" spans="1:2" ht="13.5" customHeight="1" x14ac:dyDescent="0.2">
      <c r="A578" s="24"/>
      <c r="B578" s="24"/>
    </row>
    <row r="579" spans="1:2" ht="13.5" customHeight="1" x14ac:dyDescent="0.2">
      <c r="A579" s="24"/>
      <c r="B579" s="24"/>
    </row>
    <row r="580" spans="1:2" ht="13.5" customHeight="1" x14ac:dyDescent="0.2">
      <c r="A580" s="24"/>
      <c r="B580" s="24"/>
    </row>
    <row r="581" spans="1:2" ht="13.5" customHeight="1" x14ac:dyDescent="0.2">
      <c r="A581" s="24"/>
      <c r="B581" s="24"/>
    </row>
    <row r="582" spans="1:2" ht="13.5" customHeight="1" x14ac:dyDescent="0.2">
      <c r="A582" s="24"/>
      <c r="B582" s="24"/>
    </row>
    <row r="583" spans="1:2" ht="13.5" customHeight="1" x14ac:dyDescent="0.2">
      <c r="A583" s="24"/>
      <c r="B583" s="24"/>
    </row>
    <row r="584" spans="1:2" ht="13.5" customHeight="1" x14ac:dyDescent="0.2">
      <c r="A584" s="24"/>
      <c r="B584" s="24"/>
    </row>
    <row r="585" spans="1:2" ht="13.5" customHeight="1" x14ac:dyDescent="0.2">
      <c r="A585" s="24"/>
      <c r="B585" s="24"/>
    </row>
    <row r="586" spans="1:2" ht="13.5" customHeight="1" x14ac:dyDescent="0.2">
      <c r="A586" s="24"/>
      <c r="B586" s="24"/>
    </row>
    <row r="587" spans="1:2" ht="13.5" customHeight="1" x14ac:dyDescent="0.2">
      <c r="A587" s="24"/>
      <c r="B587" s="24"/>
    </row>
    <row r="588" spans="1:2" ht="13.5" customHeight="1" x14ac:dyDescent="0.2">
      <c r="A588" s="24"/>
      <c r="B588" s="24"/>
    </row>
    <row r="589" spans="1:2" ht="13.5" customHeight="1" x14ac:dyDescent="0.2">
      <c r="A589" s="24"/>
      <c r="B589" s="24"/>
    </row>
    <row r="590" spans="1:2" ht="13.5" customHeight="1" x14ac:dyDescent="0.2">
      <c r="A590" s="24"/>
      <c r="B590" s="24"/>
    </row>
    <row r="591" spans="1:2" ht="13.5" customHeight="1" x14ac:dyDescent="0.2">
      <c r="A591" s="24"/>
      <c r="B591" s="24"/>
    </row>
    <row r="592" spans="1:2" ht="13.5" customHeight="1" x14ac:dyDescent="0.2">
      <c r="A592" s="24"/>
      <c r="B592" s="24"/>
    </row>
    <row r="593" spans="1:2" ht="13.5" customHeight="1" x14ac:dyDescent="0.2">
      <c r="A593" s="24"/>
      <c r="B593" s="24"/>
    </row>
    <row r="594" spans="1:2" ht="13.5" customHeight="1" x14ac:dyDescent="0.2">
      <c r="A594" s="24"/>
      <c r="B594" s="24"/>
    </row>
    <row r="595" spans="1:2" ht="13.5" customHeight="1" x14ac:dyDescent="0.2">
      <c r="A595" s="24"/>
      <c r="B595" s="24"/>
    </row>
    <row r="596" spans="1:2" ht="13.5" customHeight="1" x14ac:dyDescent="0.2">
      <c r="A596" s="24"/>
      <c r="B596" s="24"/>
    </row>
    <row r="597" spans="1:2" ht="13.5" customHeight="1" x14ac:dyDescent="0.2">
      <c r="A597" s="24"/>
      <c r="B597" s="24"/>
    </row>
    <row r="598" spans="1:2" ht="13.5" customHeight="1" x14ac:dyDescent="0.2">
      <c r="A598" s="24"/>
      <c r="B598" s="24"/>
    </row>
    <row r="599" spans="1:2" ht="13.5" customHeight="1" x14ac:dyDescent="0.2">
      <c r="A599" s="24"/>
      <c r="B599" s="24"/>
    </row>
    <row r="600" spans="1:2" ht="13.5" customHeight="1" x14ac:dyDescent="0.2">
      <c r="A600" s="24"/>
      <c r="B600" s="24"/>
    </row>
    <row r="601" spans="1:2" ht="13.5" customHeight="1" x14ac:dyDescent="0.2">
      <c r="A601" s="24"/>
      <c r="B601" s="24"/>
    </row>
    <row r="602" spans="1:2" ht="13.5" customHeight="1" x14ac:dyDescent="0.2">
      <c r="A602" s="24"/>
      <c r="B602" s="24"/>
    </row>
    <row r="603" spans="1:2" ht="13.5" customHeight="1" x14ac:dyDescent="0.2">
      <c r="A603" s="24"/>
      <c r="B603" s="24"/>
    </row>
    <row r="604" spans="1:2" ht="13.5" customHeight="1" x14ac:dyDescent="0.2">
      <c r="A604" s="24"/>
      <c r="B604" s="24"/>
    </row>
    <row r="605" spans="1:2" ht="13.5" customHeight="1" x14ac:dyDescent="0.2">
      <c r="A605" s="24"/>
      <c r="B605" s="24"/>
    </row>
    <row r="606" spans="1:2" ht="13.5" customHeight="1" x14ac:dyDescent="0.2">
      <c r="A606" s="24"/>
      <c r="B606" s="24"/>
    </row>
    <row r="607" spans="1:2" ht="13.5" customHeight="1" x14ac:dyDescent="0.2">
      <c r="A607" s="24"/>
      <c r="B607" s="24"/>
    </row>
    <row r="608" spans="1:2" ht="13.5" customHeight="1" x14ac:dyDescent="0.2">
      <c r="A608" s="24"/>
      <c r="B608" s="24"/>
    </row>
    <row r="609" spans="1:2" ht="13.5" customHeight="1" x14ac:dyDescent="0.2">
      <c r="A609" s="24"/>
      <c r="B609" s="24"/>
    </row>
    <row r="610" spans="1:2" ht="13.5" customHeight="1" x14ac:dyDescent="0.2">
      <c r="A610" s="24"/>
      <c r="B610" s="24"/>
    </row>
    <row r="611" spans="1:2" ht="13.5" customHeight="1" x14ac:dyDescent="0.2">
      <c r="A611" s="24"/>
      <c r="B611" s="24"/>
    </row>
    <row r="612" spans="1:2" ht="13.5" customHeight="1" x14ac:dyDescent="0.2">
      <c r="A612" s="24"/>
      <c r="B612" s="24"/>
    </row>
    <row r="613" spans="1:2" ht="13.5" customHeight="1" x14ac:dyDescent="0.2">
      <c r="A613" s="24"/>
      <c r="B613" s="24"/>
    </row>
    <row r="614" spans="1:2" ht="13.5" customHeight="1" x14ac:dyDescent="0.2">
      <c r="A614" s="24"/>
      <c r="B614" s="24"/>
    </row>
    <row r="615" spans="1:2" ht="13.5" customHeight="1" x14ac:dyDescent="0.2">
      <c r="A615" s="24"/>
      <c r="B615" s="24"/>
    </row>
    <row r="616" spans="1:2" ht="13.5" customHeight="1" x14ac:dyDescent="0.2">
      <c r="A616" s="24"/>
      <c r="B616" s="24"/>
    </row>
    <row r="617" spans="1:2" ht="13.5" customHeight="1" x14ac:dyDescent="0.2">
      <c r="A617" s="24"/>
      <c r="B617" s="24"/>
    </row>
    <row r="618" spans="1:2" ht="13.5" customHeight="1" x14ac:dyDescent="0.2">
      <c r="A618" s="24"/>
      <c r="B618" s="24"/>
    </row>
    <row r="619" spans="1:2" ht="13.5" customHeight="1" x14ac:dyDescent="0.2">
      <c r="A619" s="24"/>
      <c r="B619" s="24"/>
    </row>
    <row r="620" spans="1:2" ht="13.5" customHeight="1" x14ac:dyDescent="0.2">
      <c r="A620" s="24"/>
      <c r="B620" s="24"/>
    </row>
    <row r="621" spans="1:2" ht="13.5" customHeight="1" x14ac:dyDescent="0.2">
      <c r="A621" s="24"/>
      <c r="B621" s="24"/>
    </row>
    <row r="622" spans="1:2" ht="13.5" customHeight="1" x14ac:dyDescent="0.2">
      <c r="A622" s="24"/>
      <c r="B622" s="24"/>
    </row>
    <row r="623" spans="1:2" ht="13.5" customHeight="1" x14ac:dyDescent="0.2">
      <c r="A623" s="24"/>
      <c r="B623" s="24"/>
    </row>
    <row r="624" spans="1:2" ht="13.5" customHeight="1" x14ac:dyDescent="0.2">
      <c r="A624" s="24"/>
      <c r="B624" s="24"/>
    </row>
    <row r="625" spans="1:2" ht="13.5" customHeight="1" x14ac:dyDescent="0.2">
      <c r="A625" s="24"/>
      <c r="B625" s="24"/>
    </row>
    <row r="626" spans="1:2" ht="13.5" customHeight="1" x14ac:dyDescent="0.2">
      <c r="A626" s="24"/>
      <c r="B626" s="24"/>
    </row>
    <row r="627" spans="1:2" ht="13.5" customHeight="1" x14ac:dyDescent="0.2">
      <c r="A627" s="24"/>
      <c r="B627" s="24"/>
    </row>
    <row r="628" spans="1:2" ht="13.5" customHeight="1" x14ac:dyDescent="0.2">
      <c r="A628" s="24"/>
      <c r="B628" s="24"/>
    </row>
    <row r="629" spans="1:2" ht="13.5" customHeight="1" x14ac:dyDescent="0.2">
      <c r="A629" s="24"/>
      <c r="B629" s="24"/>
    </row>
    <row r="630" spans="1:2" ht="13.5" customHeight="1" x14ac:dyDescent="0.2">
      <c r="A630" s="24"/>
      <c r="B630" s="24"/>
    </row>
    <row r="631" spans="1:2" ht="13.5" customHeight="1" x14ac:dyDescent="0.2">
      <c r="A631" s="24"/>
      <c r="B631" s="24"/>
    </row>
    <row r="632" spans="1:2" ht="13.5" customHeight="1" x14ac:dyDescent="0.2">
      <c r="A632" s="24"/>
      <c r="B632" s="24"/>
    </row>
    <row r="633" spans="1:2" ht="13.5" customHeight="1" x14ac:dyDescent="0.2">
      <c r="A633" s="24"/>
      <c r="B633" s="24"/>
    </row>
    <row r="634" spans="1:2" ht="13.5" customHeight="1" x14ac:dyDescent="0.2">
      <c r="A634" s="24"/>
      <c r="B634" s="24"/>
    </row>
    <row r="635" spans="1:2" ht="13.5" customHeight="1" x14ac:dyDescent="0.2">
      <c r="A635" s="24"/>
      <c r="B635" s="24"/>
    </row>
    <row r="636" spans="1:2" ht="13.5" customHeight="1" x14ac:dyDescent="0.2">
      <c r="A636" s="24"/>
      <c r="B636" s="24"/>
    </row>
    <row r="637" spans="1:2" ht="13.5" customHeight="1" x14ac:dyDescent="0.2">
      <c r="A637" s="24"/>
      <c r="B637" s="24"/>
    </row>
    <row r="638" spans="1:2" ht="13.5" customHeight="1" x14ac:dyDescent="0.2">
      <c r="A638" s="24"/>
      <c r="B638" s="24"/>
    </row>
    <row r="639" spans="1:2" ht="13.5" customHeight="1" x14ac:dyDescent="0.2">
      <c r="A639" s="24"/>
      <c r="B639" s="24"/>
    </row>
    <row r="640" spans="1:2" ht="13.5" customHeight="1" x14ac:dyDescent="0.2">
      <c r="A640" s="24"/>
      <c r="B640" s="24"/>
    </row>
    <row r="641" spans="1:2" ht="13.5" customHeight="1" x14ac:dyDescent="0.2">
      <c r="A641" s="24"/>
      <c r="B641" s="24"/>
    </row>
    <row r="642" spans="1:2" ht="13.5" customHeight="1" x14ac:dyDescent="0.2">
      <c r="A642" s="24"/>
      <c r="B642" s="24"/>
    </row>
    <row r="643" spans="1:2" ht="13.5" customHeight="1" x14ac:dyDescent="0.2">
      <c r="A643" s="24"/>
      <c r="B643" s="24"/>
    </row>
    <row r="644" spans="1:2" ht="13.5" customHeight="1" x14ac:dyDescent="0.2">
      <c r="A644" s="24"/>
      <c r="B644" s="24"/>
    </row>
    <row r="645" spans="1:2" ht="13.5" customHeight="1" x14ac:dyDescent="0.2">
      <c r="A645" s="24"/>
      <c r="B645" s="24"/>
    </row>
    <row r="646" spans="1:2" ht="13.5" customHeight="1" x14ac:dyDescent="0.2">
      <c r="A646" s="24"/>
      <c r="B646" s="24"/>
    </row>
    <row r="647" spans="1:2" ht="13.5" customHeight="1" x14ac:dyDescent="0.2">
      <c r="A647" s="24"/>
      <c r="B647" s="24"/>
    </row>
    <row r="648" spans="1:2" ht="13.5" customHeight="1" x14ac:dyDescent="0.2">
      <c r="A648" s="24"/>
      <c r="B648" s="24"/>
    </row>
    <row r="649" spans="1:2" ht="13.5" customHeight="1" x14ac:dyDescent="0.2">
      <c r="A649" s="24"/>
      <c r="B649" s="24"/>
    </row>
    <row r="650" spans="1:2" ht="13.5" customHeight="1" x14ac:dyDescent="0.2">
      <c r="A650" s="24"/>
      <c r="B650" s="24"/>
    </row>
    <row r="651" spans="1:2" ht="13.5" customHeight="1" x14ac:dyDescent="0.2">
      <c r="A651" s="24"/>
      <c r="B651" s="24"/>
    </row>
    <row r="652" spans="1:2" ht="13.5" customHeight="1" x14ac:dyDescent="0.2">
      <c r="A652" s="24"/>
      <c r="B652" s="24"/>
    </row>
    <row r="653" spans="1:2" ht="13.5" customHeight="1" x14ac:dyDescent="0.2">
      <c r="A653" s="24"/>
      <c r="B653" s="24"/>
    </row>
    <row r="654" spans="1:2" ht="13.5" customHeight="1" x14ac:dyDescent="0.2">
      <c r="A654" s="24"/>
      <c r="B654" s="24"/>
    </row>
    <row r="655" spans="1:2" ht="13.5" customHeight="1" x14ac:dyDescent="0.2">
      <c r="A655" s="24"/>
      <c r="B655" s="24"/>
    </row>
    <row r="656" spans="1:2" ht="13.5" customHeight="1" x14ac:dyDescent="0.2">
      <c r="A656" s="24"/>
      <c r="B656" s="24"/>
    </row>
    <row r="657" spans="1:2" ht="13.5" customHeight="1" x14ac:dyDescent="0.2">
      <c r="A657" s="24"/>
      <c r="B657" s="24"/>
    </row>
    <row r="658" spans="1:2" ht="13.5" customHeight="1" x14ac:dyDescent="0.2">
      <c r="A658" s="24"/>
      <c r="B658" s="24"/>
    </row>
    <row r="659" spans="1:2" ht="13.5" customHeight="1" x14ac:dyDescent="0.2">
      <c r="A659" s="24"/>
      <c r="B659" s="24"/>
    </row>
    <row r="660" spans="1:2" ht="13.5" customHeight="1" x14ac:dyDescent="0.2">
      <c r="A660" s="24"/>
      <c r="B660" s="24"/>
    </row>
    <row r="661" spans="1:2" ht="13.5" customHeight="1" x14ac:dyDescent="0.2">
      <c r="A661" s="24"/>
      <c r="B661" s="24"/>
    </row>
    <row r="662" spans="1:2" ht="13.5" customHeight="1" x14ac:dyDescent="0.2">
      <c r="A662" s="24"/>
      <c r="B662" s="24"/>
    </row>
    <row r="663" spans="1:2" ht="13.5" customHeight="1" x14ac:dyDescent="0.2">
      <c r="A663" s="24"/>
      <c r="B663" s="24"/>
    </row>
    <row r="664" spans="1:2" ht="13.5" customHeight="1" x14ac:dyDescent="0.2">
      <c r="A664" s="24"/>
      <c r="B664" s="24"/>
    </row>
    <row r="665" spans="1:2" ht="13.5" customHeight="1" x14ac:dyDescent="0.2">
      <c r="A665" s="24"/>
      <c r="B665" s="24"/>
    </row>
    <row r="666" spans="1:2" ht="13.5" customHeight="1" x14ac:dyDescent="0.2">
      <c r="A666" s="24"/>
      <c r="B666" s="24"/>
    </row>
    <row r="667" spans="1:2" ht="13.5" customHeight="1" x14ac:dyDescent="0.2">
      <c r="A667" s="24"/>
      <c r="B667" s="24"/>
    </row>
    <row r="668" spans="1:2" ht="13.5" customHeight="1" x14ac:dyDescent="0.2">
      <c r="A668" s="24"/>
      <c r="B668" s="24"/>
    </row>
    <row r="669" spans="1:2" ht="13.5" customHeight="1" x14ac:dyDescent="0.2">
      <c r="A669" s="24"/>
      <c r="B669" s="24"/>
    </row>
    <row r="670" spans="1:2" ht="13.5" customHeight="1" x14ac:dyDescent="0.2">
      <c r="A670" s="24"/>
      <c r="B670" s="24"/>
    </row>
    <row r="671" spans="1:2" ht="13.5" customHeight="1" x14ac:dyDescent="0.2">
      <c r="A671" s="24"/>
      <c r="B671" s="24"/>
    </row>
    <row r="672" spans="1:2" ht="13.5" customHeight="1" x14ac:dyDescent="0.2">
      <c r="A672" s="24"/>
      <c r="B672" s="24"/>
    </row>
    <row r="673" spans="1:2" ht="13.5" customHeight="1" x14ac:dyDescent="0.2">
      <c r="A673" s="24"/>
      <c r="B673" s="24"/>
    </row>
    <row r="674" spans="1:2" ht="13.5" customHeight="1" x14ac:dyDescent="0.2">
      <c r="A674" s="24"/>
      <c r="B674" s="24"/>
    </row>
    <row r="675" spans="1:2" ht="13.5" customHeight="1" x14ac:dyDescent="0.2">
      <c r="A675" s="24"/>
      <c r="B675" s="24"/>
    </row>
    <row r="676" spans="1:2" ht="13.5" customHeight="1" x14ac:dyDescent="0.2">
      <c r="A676" s="24"/>
      <c r="B676" s="24"/>
    </row>
    <row r="677" spans="1:2" ht="13.5" customHeight="1" x14ac:dyDescent="0.2">
      <c r="A677" s="24"/>
      <c r="B677" s="24"/>
    </row>
    <row r="678" spans="1:2" ht="13.5" customHeight="1" x14ac:dyDescent="0.2">
      <c r="A678" s="24"/>
      <c r="B678" s="24"/>
    </row>
    <row r="679" spans="1:2" ht="13.5" customHeight="1" x14ac:dyDescent="0.2">
      <c r="A679" s="24"/>
      <c r="B679" s="24"/>
    </row>
    <row r="680" spans="1:2" ht="13.5" customHeight="1" x14ac:dyDescent="0.2">
      <c r="A680" s="24"/>
      <c r="B680" s="24"/>
    </row>
    <row r="681" spans="1:2" ht="13.5" customHeight="1" x14ac:dyDescent="0.2">
      <c r="A681" s="24"/>
      <c r="B681" s="24"/>
    </row>
    <row r="682" spans="1:2" ht="13.5" customHeight="1" x14ac:dyDescent="0.2">
      <c r="A682" s="24"/>
      <c r="B682" s="24"/>
    </row>
    <row r="683" spans="1:2" ht="13.5" customHeight="1" x14ac:dyDescent="0.2">
      <c r="A683" s="24"/>
      <c r="B683" s="24"/>
    </row>
    <row r="684" spans="1:2" ht="13.5" customHeight="1" x14ac:dyDescent="0.2">
      <c r="A684" s="24"/>
      <c r="B684" s="24"/>
    </row>
    <row r="685" spans="1:2" ht="13.5" customHeight="1" x14ac:dyDescent="0.2">
      <c r="A685" s="24"/>
      <c r="B685" s="24"/>
    </row>
    <row r="686" spans="1:2" ht="13.5" customHeight="1" x14ac:dyDescent="0.2">
      <c r="A686" s="24"/>
      <c r="B686" s="24"/>
    </row>
    <row r="687" spans="1:2" ht="13.5" customHeight="1" x14ac:dyDescent="0.2">
      <c r="A687" s="24"/>
      <c r="B687" s="24"/>
    </row>
    <row r="688" spans="1:2" ht="13.5" customHeight="1" x14ac:dyDescent="0.2">
      <c r="A688" s="24"/>
      <c r="B688" s="24"/>
    </row>
    <row r="689" spans="1:2" ht="13.5" customHeight="1" x14ac:dyDescent="0.2">
      <c r="A689" s="24"/>
      <c r="B689" s="24"/>
    </row>
    <row r="690" spans="1:2" ht="13.5" customHeight="1" x14ac:dyDescent="0.2">
      <c r="A690" s="24"/>
      <c r="B690" s="24"/>
    </row>
    <row r="691" spans="1:2" ht="13.5" customHeight="1" x14ac:dyDescent="0.2">
      <c r="A691" s="24"/>
      <c r="B691" s="24"/>
    </row>
    <row r="692" spans="1:2" ht="13.5" customHeight="1" x14ac:dyDescent="0.2">
      <c r="A692" s="24"/>
      <c r="B692" s="24"/>
    </row>
    <row r="693" spans="1:2" ht="13.5" customHeight="1" x14ac:dyDescent="0.2">
      <c r="A693" s="24"/>
      <c r="B693" s="24"/>
    </row>
    <row r="694" spans="1:2" ht="13.5" customHeight="1" x14ac:dyDescent="0.2">
      <c r="A694" s="24"/>
      <c r="B694" s="24"/>
    </row>
    <row r="695" spans="1:2" ht="13.5" customHeight="1" x14ac:dyDescent="0.2">
      <c r="A695" s="24"/>
      <c r="B695" s="24"/>
    </row>
    <row r="696" spans="1:2" ht="13.5" customHeight="1" x14ac:dyDescent="0.2">
      <c r="A696" s="24"/>
      <c r="B696" s="24"/>
    </row>
    <row r="697" spans="1:2" ht="13.5" customHeight="1" x14ac:dyDescent="0.2">
      <c r="A697" s="24"/>
      <c r="B697" s="24"/>
    </row>
    <row r="698" spans="1:2" ht="13.5" customHeight="1" x14ac:dyDescent="0.2">
      <c r="A698" s="24"/>
      <c r="B698" s="24"/>
    </row>
    <row r="699" spans="1:2" ht="13.5" customHeight="1" x14ac:dyDescent="0.2">
      <c r="A699" s="24"/>
      <c r="B699" s="24"/>
    </row>
    <row r="700" spans="1:2" ht="13.5" customHeight="1" x14ac:dyDescent="0.2">
      <c r="A700" s="24"/>
      <c r="B700" s="24"/>
    </row>
    <row r="701" spans="1:2" ht="13.5" customHeight="1" x14ac:dyDescent="0.2">
      <c r="A701" s="24"/>
      <c r="B701" s="24"/>
    </row>
    <row r="702" spans="1:2" ht="13.5" customHeight="1" x14ac:dyDescent="0.2">
      <c r="A702" s="24"/>
      <c r="B702" s="24"/>
    </row>
    <row r="703" spans="1:2" ht="13.5" customHeight="1" x14ac:dyDescent="0.2">
      <c r="A703" s="24"/>
      <c r="B703" s="24"/>
    </row>
    <row r="704" spans="1:2" ht="13.5" customHeight="1" x14ac:dyDescent="0.2">
      <c r="A704" s="24"/>
      <c r="B704" s="24"/>
    </row>
    <row r="705" spans="1:2" ht="13.5" customHeight="1" x14ac:dyDescent="0.2">
      <c r="A705" s="24"/>
      <c r="B705" s="24"/>
    </row>
    <row r="706" spans="1:2" ht="13.5" customHeight="1" x14ac:dyDescent="0.2">
      <c r="A706" s="24"/>
      <c r="B706" s="24"/>
    </row>
    <row r="707" spans="1:2" ht="13.5" customHeight="1" x14ac:dyDescent="0.2">
      <c r="A707" s="24"/>
      <c r="B707" s="24"/>
    </row>
    <row r="708" spans="1:2" ht="13.5" customHeight="1" x14ac:dyDescent="0.2">
      <c r="A708" s="24"/>
      <c r="B708" s="24"/>
    </row>
    <row r="709" spans="1:2" ht="13.5" customHeight="1" x14ac:dyDescent="0.2">
      <c r="A709" s="24"/>
      <c r="B709" s="24"/>
    </row>
    <row r="710" spans="1:2" ht="13.5" customHeight="1" x14ac:dyDescent="0.2">
      <c r="A710" s="24"/>
      <c r="B710" s="24"/>
    </row>
    <row r="711" spans="1:2" ht="13.5" customHeight="1" x14ac:dyDescent="0.2">
      <c r="A711" s="24"/>
      <c r="B711" s="24"/>
    </row>
    <row r="712" spans="1:2" ht="13.5" customHeight="1" x14ac:dyDescent="0.2">
      <c r="A712" s="24"/>
      <c r="B712" s="24"/>
    </row>
    <row r="713" spans="1:2" ht="13.5" customHeight="1" x14ac:dyDescent="0.2">
      <c r="A713" s="24"/>
      <c r="B713" s="24"/>
    </row>
    <row r="714" spans="1:2" ht="13.5" customHeight="1" x14ac:dyDescent="0.2">
      <c r="A714" s="24"/>
      <c r="B714" s="24"/>
    </row>
    <row r="715" spans="1:2" ht="13.5" customHeight="1" x14ac:dyDescent="0.2">
      <c r="A715" s="24"/>
      <c r="B715" s="24"/>
    </row>
    <row r="716" spans="1:2" ht="13.5" customHeight="1" x14ac:dyDescent="0.2">
      <c r="A716" s="24"/>
      <c r="B716" s="24"/>
    </row>
    <row r="717" spans="1:2" ht="13.5" customHeight="1" x14ac:dyDescent="0.2">
      <c r="A717" s="24"/>
      <c r="B717" s="24"/>
    </row>
    <row r="718" spans="1:2" ht="13.5" customHeight="1" x14ac:dyDescent="0.2">
      <c r="A718" s="24"/>
      <c r="B718" s="24"/>
    </row>
    <row r="719" spans="1:2" ht="13.5" customHeight="1" x14ac:dyDescent="0.2">
      <c r="A719" s="24"/>
      <c r="B719" s="24"/>
    </row>
    <row r="720" spans="1:2" ht="13.5" customHeight="1" x14ac:dyDescent="0.2">
      <c r="A720" s="24"/>
      <c r="B720" s="24"/>
    </row>
    <row r="721" spans="1:2" ht="13.5" customHeight="1" x14ac:dyDescent="0.2">
      <c r="A721" s="24"/>
      <c r="B721" s="24"/>
    </row>
    <row r="722" spans="1:2" ht="13.5" customHeight="1" x14ac:dyDescent="0.2">
      <c r="A722" s="24"/>
      <c r="B722" s="24"/>
    </row>
    <row r="723" spans="1:2" ht="13.5" customHeight="1" x14ac:dyDescent="0.2">
      <c r="A723" s="24"/>
      <c r="B723" s="24"/>
    </row>
    <row r="724" spans="1:2" ht="13.5" customHeight="1" x14ac:dyDescent="0.2">
      <c r="A724" s="24"/>
      <c r="B724" s="24"/>
    </row>
    <row r="725" spans="1:2" ht="13.5" customHeight="1" x14ac:dyDescent="0.2">
      <c r="A725" s="24"/>
      <c r="B725" s="24"/>
    </row>
    <row r="726" spans="1:2" ht="13.5" customHeight="1" x14ac:dyDescent="0.2">
      <c r="A726" s="24"/>
      <c r="B726" s="24"/>
    </row>
    <row r="727" spans="1:2" ht="13.5" customHeight="1" x14ac:dyDescent="0.2">
      <c r="A727" s="24"/>
      <c r="B727" s="24"/>
    </row>
    <row r="728" spans="1:2" ht="13.5" customHeight="1" x14ac:dyDescent="0.2">
      <c r="A728" s="24"/>
      <c r="B728" s="24"/>
    </row>
    <row r="729" spans="1:2" ht="13.5" customHeight="1" x14ac:dyDescent="0.2">
      <c r="A729" s="24"/>
      <c r="B729" s="24"/>
    </row>
    <row r="730" spans="1:2" ht="13.5" customHeight="1" x14ac:dyDescent="0.2">
      <c r="A730" s="24"/>
      <c r="B730" s="24"/>
    </row>
    <row r="731" spans="1:2" ht="13.5" customHeight="1" x14ac:dyDescent="0.2">
      <c r="A731" s="24"/>
      <c r="B731" s="24"/>
    </row>
    <row r="732" spans="1:2" ht="13.5" customHeight="1" x14ac:dyDescent="0.2">
      <c r="A732" s="24"/>
      <c r="B732" s="24"/>
    </row>
    <row r="733" spans="1:2" ht="13.5" customHeight="1" x14ac:dyDescent="0.2">
      <c r="A733" s="24"/>
      <c r="B733" s="24"/>
    </row>
    <row r="734" spans="1:2" ht="13.5" customHeight="1" x14ac:dyDescent="0.2">
      <c r="A734" s="24"/>
      <c r="B734" s="24"/>
    </row>
    <row r="735" spans="1:2" ht="13.5" customHeight="1" x14ac:dyDescent="0.2">
      <c r="A735" s="24"/>
      <c r="B735" s="24"/>
    </row>
    <row r="736" spans="1:2" ht="13.5" customHeight="1" x14ac:dyDescent="0.2">
      <c r="A736" s="24"/>
      <c r="B736" s="24"/>
    </row>
    <row r="737" spans="1:2" ht="13.5" customHeight="1" x14ac:dyDescent="0.2">
      <c r="A737" s="24"/>
      <c r="B737" s="24"/>
    </row>
    <row r="738" spans="1:2" ht="13.5" customHeight="1" x14ac:dyDescent="0.2">
      <c r="A738" s="24"/>
      <c r="B738" s="24"/>
    </row>
    <row r="739" spans="1:2" ht="13.5" customHeight="1" x14ac:dyDescent="0.2">
      <c r="A739" s="24"/>
      <c r="B739" s="24"/>
    </row>
    <row r="740" spans="1:2" ht="13.5" customHeight="1" x14ac:dyDescent="0.2">
      <c r="A740" s="24"/>
      <c r="B740" s="24"/>
    </row>
    <row r="741" spans="1:2" ht="13.5" customHeight="1" x14ac:dyDescent="0.2">
      <c r="A741" s="24"/>
      <c r="B741" s="24"/>
    </row>
    <row r="742" spans="1:2" ht="13.5" customHeight="1" x14ac:dyDescent="0.2">
      <c r="A742" s="24"/>
      <c r="B742" s="24"/>
    </row>
    <row r="743" spans="1:2" ht="13.5" customHeight="1" x14ac:dyDescent="0.2">
      <c r="A743" s="24"/>
      <c r="B743" s="24"/>
    </row>
    <row r="744" spans="1:2" ht="13.5" customHeight="1" x14ac:dyDescent="0.2">
      <c r="A744" s="24"/>
      <c r="B744" s="24"/>
    </row>
    <row r="745" spans="1:2" ht="13.5" customHeight="1" x14ac:dyDescent="0.2">
      <c r="A745" s="24"/>
      <c r="B745" s="24"/>
    </row>
    <row r="746" spans="1:2" ht="13.5" customHeight="1" x14ac:dyDescent="0.2">
      <c r="A746" s="24"/>
      <c r="B746" s="24"/>
    </row>
    <row r="747" spans="1:2" ht="13.5" customHeight="1" x14ac:dyDescent="0.2">
      <c r="A747" s="24"/>
      <c r="B747" s="24"/>
    </row>
    <row r="748" spans="1:2" ht="13.5" customHeight="1" x14ac:dyDescent="0.2">
      <c r="A748" s="24"/>
      <c r="B748" s="24"/>
    </row>
    <row r="749" spans="1:2" ht="13.5" customHeight="1" x14ac:dyDescent="0.2">
      <c r="A749" s="24"/>
      <c r="B749" s="24"/>
    </row>
    <row r="750" spans="1:2" ht="13.5" customHeight="1" x14ac:dyDescent="0.2">
      <c r="A750" s="24"/>
      <c r="B750" s="24"/>
    </row>
    <row r="751" spans="1:2" ht="13.5" customHeight="1" x14ac:dyDescent="0.2">
      <c r="A751" s="24"/>
      <c r="B751" s="24"/>
    </row>
    <row r="752" spans="1:2" ht="13.5" customHeight="1" x14ac:dyDescent="0.2">
      <c r="A752" s="24"/>
      <c r="B752" s="24"/>
    </row>
    <row r="753" spans="1:2" ht="13.5" customHeight="1" x14ac:dyDescent="0.2">
      <c r="A753" s="24"/>
      <c r="B753" s="24"/>
    </row>
    <row r="754" spans="1:2" ht="13.5" customHeight="1" x14ac:dyDescent="0.2">
      <c r="A754" s="24"/>
      <c r="B754" s="24"/>
    </row>
    <row r="755" spans="1:2" ht="13.5" customHeight="1" x14ac:dyDescent="0.2">
      <c r="A755" s="24"/>
      <c r="B755" s="24"/>
    </row>
    <row r="756" spans="1:2" ht="13.5" customHeight="1" x14ac:dyDescent="0.2">
      <c r="A756" s="24"/>
      <c r="B756" s="24"/>
    </row>
    <row r="757" spans="1:2" ht="13.5" customHeight="1" x14ac:dyDescent="0.2">
      <c r="A757" s="24"/>
      <c r="B757" s="24"/>
    </row>
    <row r="758" spans="1:2" ht="13.5" customHeight="1" x14ac:dyDescent="0.2">
      <c r="A758" s="24"/>
      <c r="B758" s="24"/>
    </row>
    <row r="759" spans="1:2" ht="13.5" customHeight="1" x14ac:dyDescent="0.2">
      <c r="A759" s="24"/>
      <c r="B759" s="24"/>
    </row>
    <row r="760" spans="1:2" ht="13.5" customHeight="1" x14ac:dyDescent="0.2">
      <c r="A760" s="24"/>
      <c r="B760" s="24"/>
    </row>
    <row r="761" spans="1:2" ht="13.5" customHeight="1" x14ac:dyDescent="0.2">
      <c r="A761" s="24"/>
      <c r="B761" s="24"/>
    </row>
    <row r="762" spans="1:2" ht="13.5" customHeight="1" x14ac:dyDescent="0.2">
      <c r="A762" s="24"/>
      <c r="B762" s="24"/>
    </row>
    <row r="763" spans="1:2" ht="13.5" customHeight="1" x14ac:dyDescent="0.2">
      <c r="A763" s="24"/>
      <c r="B763" s="24"/>
    </row>
    <row r="764" spans="1:2" ht="13.5" customHeight="1" x14ac:dyDescent="0.2">
      <c r="A764" s="24"/>
      <c r="B764" s="24"/>
    </row>
    <row r="765" spans="1:2" ht="13.5" customHeight="1" x14ac:dyDescent="0.2">
      <c r="A765" s="24"/>
      <c r="B765" s="24"/>
    </row>
    <row r="766" spans="1:2" ht="13.5" customHeight="1" x14ac:dyDescent="0.2">
      <c r="A766" s="24"/>
      <c r="B766" s="24"/>
    </row>
    <row r="767" spans="1:2" ht="13.5" customHeight="1" x14ac:dyDescent="0.2">
      <c r="A767" s="24"/>
      <c r="B767" s="24"/>
    </row>
    <row r="768" spans="1:2" ht="13.5" customHeight="1" x14ac:dyDescent="0.2">
      <c r="A768" s="24"/>
      <c r="B768" s="24"/>
    </row>
    <row r="769" spans="1:2" ht="13.5" customHeight="1" x14ac:dyDescent="0.2">
      <c r="A769" s="24"/>
      <c r="B769" s="24"/>
    </row>
    <row r="770" spans="1:2" ht="13.5" customHeight="1" x14ac:dyDescent="0.2">
      <c r="A770" s="24"/>
      <c r="B770" s="24"/>
    </row>
    <row r="771" spans="1:2" ht="13.5" customHeight="1" x14ac:dyDescent="0.2">
      <c r="A771" s="24"/>
      <c r="B771" s="24"/>
    </row>
    <row r="772" spans="1:2" ht="13.5" customHeight="1" x14ac:dyDescent="0.2">
      <c r="A772" s="24"/>
      <c r="B772" s="24"/>
    </row>
    <row r="773" spans="1:2" ht="13.5" customHeight="1" x14ac:dyDescent="0.2">
      <c r="A773" s="24"/>
      <c r="B773" s="24"/>
    </row>
    <row r="774" spans="1:2" ht="13.5" customHeight="1" x14ac:dyDescent="0.2">
      <c r="A774" s="24"/>
      <c r="B774" s="24"/>
    </row>
    <row r="775" spans="1:2" ht="13.5" customHeight="1" x14ac:dyDescent="0.2">
      <c r="A775" s="24"/>
      <c r="B775" s="24"/>
    </row>
    <row r="776" spans="1:2" ht="13.5" customHeight="1" x14ac:dyDescent="0.2">
      <c r="A776" s="24"/>
      <c r="B776" s="24"/>
    </row>
    <row r="777" spans="1:2" ht="13.5" customHeight="1" x14ac:dyDescent="0.2">
      <c r="A777" s="24"/>
      <c r="B777" s="24"/>
    </row>
    <row r="778" spans="1:2" ht="13.5" customHeight="1" x14ac:dyDescent="0.2">
      <c r="A778" s="24"/>
      <c r="B778" s="24"/>
    </row>
    <row r="779" spans="1:2" ht="13.5" customHeight="1" x14ac:dyDescent="0.2">
      <c r="A779" s="24"/>
      <c r="B779" s="24"/>
    </row>
    <row r="780" spans="1:2" ht="13.5" customHeight="1" x14ac:dyDescent="0.2">
      <c r="A780" s="24"/>
      <c r="B780" s="24"/>
    </row>
    <row r="781" spans="1:2" ht="13.5" customHeight="1" x14ac:dyDescent="0.2">
      <c r="A781" s="24"/>
      <c r="B781" s="24"/>
    </row>
    <row r="782" spans="1:2" ht="13.5" customHeight="1" x14ac:dyDescent="0.2">
      <c r="A782" s="24"/>
      <c r="B782" s="24"/>
    </row>
    <row r="783" spans="1:2" ht="13.5" customHeight="1" x14ac:dyDescent="0.2">
      <c r="A783" s="24"/>
      <c r="B783" s="24"/>
    </row>
    <row r="784" spans="1:2" ht="13.5" customHeight="1" x14ac:dyDescent="0.2">
      <c r="A784" s="24"/>
      <c r="B784" s="24"/>
    </row>
    <row r="785" spans="1:2" ht="13.5" customHeight="1" x14ac:dyDescent="0.2">
      <c r="A785" s="24"/>
      <c r="B785" s="24"/>
    </row>
    <row r="786" spans="1:2" ht="13.5" customHeight="1" x14ac:dyDescent="0.2">
      <c r="A786" s="24"/>
      <c r="B786" s="24"/>
    </row>
    <row r="787" spans="1:2" ht="13.5" customHeight="1" x14ac:dyDescent="0.2">
      <c r="A787" s="24"/>
      <c r="B787" s="24"/>
    </row>
    <row r="788" spans="1:2" ht="13.5" customHeight="1" x14ac:dyDescent="0.2">
      <c r="A788" s="24"/>
      <c r="B788" s="24"/>
    </row>
    <row r="789" spans="1:2" ht="13.5" customHeight="1" x14ac:dyDescent="0.2">
      <c r="A789" s="24"/>
      <c r="B789" s="24"/>
    </row>
    <row r="790" spans="1:2" ht="13.5" customHeight="1" x14ac:dyDescent="0.2">
      <c r="A790" s="24"/>
      <c r="B790" s="24"/>
    </row>
    <row r="791" spans="1:2" ht="13.5" customHeight="1" x14ac:dyDescent="0.2">
      <c r="A791" s="24"/>
      <c r="B791" s="24"/>
    </row>
    <row r="792" spans="1:2" ht="13.5" customHeight="1" x14ac:dyDescent="0.2">
      <c r="A792" s="24"/>
      <c r="B792" s="24"/>
    </row>
    <row r="793" spans="1:2" ht="13.5" customHeight="1" x14ac:dyDescent="0.2">
      <c r="A793" s="24"/>
      <c r="B793" s="24"/>
    </row>
    <row r="794" spans="1:2" ht="13.5" customHeight="1" x14ac:dyDescent="0.2">
      <c r="A794" s="24"/>
      <c r="B794" s="24"/>
    </row>
    <row r="795" spans="1:2" ht="13.5" customHeight="1" x14ac:dyDescent="0.2">
      <c r="A795" s="24"/>
      <c r="B795" s="24"/>
    </row>
    <row r="796" spans="1:2" ht="13.5" customHeight="1" x14ac:dyDescent="0.2">
      <c r="A796" s="24"/>
      <c r="B796" s="24"/>
    </row>
    <row r="797" spans="1:2" ht="13.5" customHeight="1" x14ac:dyDescent="0.2">
      <c r="A797" s="24"/>
      <c r="B797" s="24"/>
    </row>
    <row r="798" spans="1:2" ht="13.5" customHeight="1" x14ac:dyDescent="0.2">
      <c r="A798" s="24"/>
      <c r="B798" s="24"/>
    </row>
    <row r="799" spans="1:2" ht="13.5" customHeight="1" x14ac:dyDescent="0.2">
      <c r="A799" s="24"/>
      <c r="B799" s="24"/>
    </row>
    <row r="800" spans="1:2" ht="13.5" customHeight="1" x14ac:dyDescent="0.2">
      <c r="A800" s="24"/>
      <c r="B800" s="24"/>
    </row>
    <row r="801" spans="1:2" ht="13.5" customHeight="1" x14ac:dyDescent="0.2">
      <c r="A801" s="24"/>
      <c r="B801" s="24"/>
    </row>
    <row r="802" spans="1:2" ht="13.5" customHeight="1" x14ac:dyDescent="0.2">
      <c r="A802" s="24"/>
      <c r="B802" s="24"/>
    </row>
    <row r="803" spans="1:2" ht="13.5" customHeight="1" x14ac:dyDescent="0.2">
      <c r="A803" s="24"/>
      <c r="B803" s="24"/>
    </row>
    <row r="804" spans="1:2" ht="13.5" customHeight="1" x14ac:dyDescent="0.2">
      <c r="A804" s="24"/>
      <c r="B804" s="24"/>
    </row>
    <row r="805" spans="1:2" ht="13.5" customHeight="1" x14ac:dyDescent="0.2">
      <c r="A805" s="24"/>
      <c r="B805" s="24"/>
    </row>
    <row r="806" spans="1:2" ht="13.5" customHeight="1" x14ac:dyDescent="0.2">
      <c r="A806" s="24"/>
      <c r="B806" s="24"/>
    </row>
    <row r="807" spans="1:2" ht="13.5" customHeight="1" x14ac:dyDescent="0.2">
      <c r="A807" s="24"/>
      <c r="B807" s="24"/>
    </row>
    <row r="808" spans="1:2" ht="13.5" customHeight="1" x14ac:dyDescent="0.2">
      <c r="A808" s="24"/>
      <c r="B808" s="24"/>
    </row>
    <row r="809" spans="1:2" ht="13.5" customHeight="1" x14ac:dyDescent="0.2">
      <c r="A809" s="24"/>
      <c r="B809" s="24"/>
    </row>
    <row r="810" spans="1:2" ht="13.5" customHeight="1" x14ac:dyDescent="0.2">
      <c r="A810" s="24"/>
      <c r="B810" s="24"/>
    </row>
    <row r="811" spans="1:2" ht="13.5" customHeight="1" x14ac:dyDescent="0.2">
      <c r="A811" s="24"/>
      <c r="B811" s="24"/>
    </row>
    <row r="812" spans="1:2" ht="13.5" customHeight="1" x14ac:dyDescent="0.2">
      <c r="A812" s="24"/>
      <c r="B812" s="24"/>
    </row>
    <row r="813" spans="1:2" ht="13.5" customHeight="1" x14ac:dyDescent="0.2">
      <c r="A813" s="24"/>
      <c r="B813" s="24"/>
    </row>
    <row r="814" spans="1:2" ht="13.5" customHeight="1" x14ac:dyDescent="0.2">
      <c r="A814" s="24"/>
      <c r="B814" s="24"/>
    </row>
    <row r="815" spans="1:2" ht="13.5" customHeight="1" x14ac:dyDescent="0.2">
      <c r="A815" s="24"/>
      <c r="B815" s="24"/>
    </row>
    <row r="816" spans="1:2" ht="13.5" customHeight="1" x14ac:dyDescent="0.2">
      <c r="A816" s="24"/>
      <c r="B816" s="24"/>
    </row>
    <row r="817" spans="1:2" ht="13.5" customHeight="1" x14ac:dyDescent="0.2">
      <c r="A817" s="24"/>
      <c r="B817" s="24"/>
    </row>
    <row r="818" spans="1:2" ht="13.5" customHeight="1" x14ac:dyDescent="0.2">
      <c r="A818" s="24"/>
      <c r="B818" s="24"/>
    </row>
    <row r="819" spans="1:2" ht="13.5" customHeight="1" x14ac:dyDescent="0.2">
      <c r="A819" s="24"/>
      <c r="B819" s="24"/>
    </row>
    <row r="820" spans="1:2" ht="13.5" customHeight="1" x14ac:dyDescent="0.2">
      <c r="A820" s="24"/>
      <c r="B820" s="24"/>
    </row>
    <row r="821" spans="1:2" ht="13.5" customHeight="1" x14ac:dyDescent="0.2">
      <c r="A821" s="24"/>
      <c r="B821" s="24"/>
    </row>
    <row r="822" spans="1:2" ht="13.5" customHeight="1" x14ac:dyDescent="0.2">
      <c r="A822" s="24"/>
      <c r="B822" s="24"/>
    </row>
    <row r="823" spans="1:2" ht="13.5" customHeight="1" x14ac:dyDescent="0.2">
      <c r="A823" s="24"/>
      <c r="B823" s="24"/>
    </row>
    <row r="824" spans="1:2" ht="13.5" customHeight="1" x14ac:dyDescent="0.2">
      <c r="A824" s="24"/>
      <c r="B824" s="24"/>
    </row>
    <row r="825" spans="1:2" ht="13.5" customHeight="1" x14ac:dyDescent="0.2">
      <c r="A825" s="24"/>
      <c r="B825" s="24"/>
    </row>
    <row r="826" spans="1:2" ht="13.5" customHeight="1" x14ac:dyDescent="0.2">
      <c r="A826" s="24"/>
      <c r="B826" s="24"/>
    </row>
    <row r="827" spans="1:2" ht="13.5" customHeight="1" x14ac:dyDescent="0.2">
      <c r="A827" s="24"/>
      <c r="B827" s="24"/>
    </row>
    <row r="828" spans="1:2" ht="13.5" customHeight="1" x14ac:dyDescent="0.2">
      <c r="A828" s="24"/>
      <c r="B828" s="24"/>
    </row>
    <row r="829" spans="1:2" ht="13.5" customHeight="1" x14ac:dyDescent="0.2">
      <c r="A829" s="24"/>
      <c r="B829" s="24"/>
    </row>
    <row r="830" spans="1:2" ht="13.5" customHeight="1" x14ac:dyDescent="0.2">
      <c r="A830" s="24"/>
      <c r="B830" s="24"/>
    </row>
    <row r="831" spans="1:2" ht="13.5" customHeight="1" x14ac:dyDescent="0.2">
      <c r="A831" s="24"/>
      <c r="B831" s="24"/>
    </row>
    <row r="832" spans="1:2" ht="13.5" customHeight="1" x14ac:dyDescent="0.2">
      <c r="A832" s="24"/>
      <c r="B832" s="24"/>
    </row>
    <row r="833" spans="1:2" ht="13.5" customHeight="1" x14ac:dyDescent="0.2">
      <c r="A833" s="24"/>
      <c r="B833" s="24"/>
    </row>
    <row r="834" spans="1:2" ht="13.5" customHeight="1" x14ac:dyDescent="0.2">
      <c r="A834" s="24"/>
      <c r="B834" s="24"/>
    </row>
    <row r="835" spans="1:2" ht="13.5" customHeight="1" x14ac:dyDescent="0.2">
      <c r="A835" s="24"/>
      <c r="B835" s="24"/>
    </row>
    <row r="836" spans="1:2" ht="13.5" customHeight="1" x14ac:dyDescent="0.2">
      <c r="A836" s="24"/>
      <c r="B836" s="24"/>
    </row>
    <row r="837" spans="1:2" ht="13.5" customHeight="1" x14ac:dyDescent="0.2">
      <c r="A837" s="24"/>
      <c r="B837" s="24"/>
    </row>
    <row r="838" spans="1:2" ht="13.5" customHeight="1" x14ac:dyDescent="0.2">
      <c r="A838" s="24"/>
      <c r="B838" s="24"/>
    </row>
    <row r="839" spans="1:2" ht="13.5" customHeight="1" x14ac:dyDescent="0.2">
      <c r="A839" s="24"/>
      <c r="B839" s="24"/>
    </row>
    <row r="840" spans="1:2" ht="13.5" customHeight="1" x14ac:dyDescent="0.2">
      <c r="A840" s="24"/>
      <c r="B840" s="24"/>
    </row>
    <row r="841" spans="1:2" ht="13.5" customHeight="1" x14ac:dyDescent="0.2">
      <c r="A841" s="24"/>
      <c r="B841" s="24"/>
    </row>
    <row r="842" spans="1:2" ht="13.5" customHeight="1" x14ac:dyDescent="0.2">
      <c r="A842" s="24"/>
      <c r="B842" s="24"/>
    </row>
    <row r="843" spans="1:2" ht="13.5" customHeight="1" x14ac:dyDescent="0.2">
      <c r="A843" s="24"/>
      <c r="B843" s="24"/>
    </row>
    <row r="844" spans="1:2" ht="13.5" customHeight="1" x14ac:dyDescent="0.2">
      <c r="A844" s="24"/>
      <c r="B844" s="24"/>
    </row>
    <row r="845" spans="1:2" ht="13.5" customHeight="1" x14ac:dyDescent="0.2">
      <c r="A845" s="24"/>
      <c r="B845" s="24"/>
    </row>
    <row r="846" spans="1:2" ht="13.5" customHeight="1" x14ac:dyDescent="0.2">
      <c r="A846" s="24"/>
      <c r="B846" s="24"/>
    </row>
    <row r="847" spans="1:2" ht="13.5" customHeight="1" x14ac:dyDescent="0.2">
      <c r="A847" s="24"/>
      <c r="B847" s="24"/>
    </row>
    <row r="848" spans="1:2" ht="13.5" customHeight="1" x14ac:dyDescent="0.2">
      <c r="A848" s="24"/>
      <c r="B848" s="24"/>
    </row>
    <row r="849" spans="1:2" ht="13.5" customHeight="1" x14ac:dyDescent="0.2">
      <c r="A849" s="24"/>
      <c r="B849" s="24"/>
    </row>
    <row r="850" spans="1:2" ht="13.5" customHeight="1" x14ac:dyDescent="0.2">
      <c r="A850" s="24"/>
      <c r="B850" s="24"/>
    </row>
    <row r="851" spans="1:2" ht="13.5" customHeight="1" x14ac:dyDescent="0.2">
      <c r="A851" s="24"/>
      <c r="B851" s="24"/>
    </row>
    <row r="852" spans="1:2" ht="13.5" customHeight="1" x14ac:dyDescent="0.2">
      <c r="A852" s="24"/>
      <c r="B852" s="24"/>
    </row>
    <row r="853" spans="1:2" ht="13.5" customHeight="1" x14ac:dyDescent="0.2">
      <c r="A853" s="24"/>
      <c r="B853" s="24"/>
    </row>
    <row r="854" spans="1:2" ht="13.5" customHeight="1" x14ac:dyDescent="0.2">
      <c r="A854" s="24"/>
      <c r="B854" s="24"/>
    </row>
    <row r="855" spans="1:2" ht="13.5" customHeight="1" x14ac:dyDescent="0.2">
      <c r="A855" s="24"/>
      <c r="B855" s="24"/>
    </row>
    <row r="856" spans="1:2" ht="13.5" customHeight="1" x14ac:dyDescent="0.2">
      <c r="A856" s="24"/>
      <c r="B856" s="24"/>
    </row>
    <row r="857" spans="1:2" ht="13.5" customHeight="1" x14ac:dyDescent="0.2">
      <c r="A857" s="24"/>
      <c r="B857" s="24"/>
    </row>
    <row r="858" spans="1:2" ht="13.5" customHeight="1" x14ac:dyDescent="0.2">
      <c r="A858" s="24"/>
      <c r="B858" s="24"/>
    </row>
    <row r="859" spans="1:2" ht="13.5" customHeight="1" x14ac:dyDescent="0.2">
      <c r="A859" s="24"/>
      <c r="B859" s="24"/>
    </row>
    <row r="860" spans="1:2" ht="13.5" customHeight="1" x14ac:dyDescent="0.2">
      <c r="A860" s="24"/>
      <c r="B860" s="24"/>
    </row>
    <row r="861" spans="1:2" ht="13.5" customHeight="1" x14ac:dyDescent="0.2">
      <c r="A861" s="24"/>
      <c r="B861" s="24"/>
    </row>
    <row r="862" spans="1:2" ht="13.5" customHeight="1" x14ac:dyDescent="0.2">
      <c r="A862" s="24"/>
      <c r="B862" s="24"/>
    </row>
    <row r="863" spans="1:2" ht="13.5" customHeight="1" x14ac:dyDescent="0.2">
      <c r="A863" s="24"/>
      <c r="B863" s="24"/>
    </row>
    <row r="864" spans="1:2" ht="13.5" customHeight="1" x14ac:dyDescent="0.2">
      <c r="A864" s="24"/>
      <c r="B864" s="24"/>
    </row>
    <row r="865" spans="1:2" ht="13.5" customHeight="1" x14ac:dyDescent="0.2">
      <c r="A865" s="24"/>
      <c r="B865" s="24"/>
    </row>
    <row r="866" spans="1:2" ht="13.5" customHeight="1" x14ac:dyDescent="0.2">
      <c r="A866" s="24"/>
      <c r="B866" s="24"/>
    </row>
    <row r="867" spans="1:2" ht="13.5" customHeight="1" x14ac:dyDescent="0.2">
      <c r="A867" s="24"/>
      <c r="B867" s="24"/>
    </row>
    <row r="868" spans="1:2" ht="13.5" customHeight="1" x14ac:dyDescent="0.2">
      <c r="A868" s="24"/>
      <c r="B868" s="24"/>
    </row>
    <row r="869" spans="1:2" ht="13.5" customHeight="1" x14ac:dyDescent="0.2">
      <c r="A869" s="24"/>
      <c r="B869" s="24"/>
    </row>
    <row r="870" spans="1:2" ht="13.5" customHeight="1" x14ac:dyDescent="0.2">
      <c r="A870" s="24"/>
      <c r="B870" s="24"/>
    </row>
    <row r="871" spans="1:2" ht="13.5" customHeight="1" x14ac:dyDescent="0.2">
      <c r="A871" s="24"/>
      <c r="B871" s="24"/>
    </row>
    <row r="872" spans="1:2" ht="13.5" customHeight="1" x14ac:dyDescent="0.2">
      <c r="A872" s="24"/>
      <c r="B872" s="24"/>
    </row>
    <row r="873" spans="1:2" ht="13.5" customHeight="1" x14ac:dyDescent="0.2">
      <c r="A873" s="24"/>
      <c r="B873" s="24"/>
    </row>
    <row r="874" spans="1:2" ht="13.5" customHeight="1" x14ac:dyDescent="0.2">
      <c r="A874" s="24"/>
      <c r="B874" s="24"/>
    </row>
    <row r="875" spans="1:2" ht="13.5" customHeight="1" x14ac:dyDescent="0.2">
      <c r="A875" s="24"/>
      <c r="B875" s="24"/>
    </row>
    <row r="876" spans="1:2" ht="13.5" customHeight="1" x14ac:dyDescent="0.2">
      <c r="A876" s="24"/>
      <c r="B876" s="24"/>
    </row>
    <row r="877" spans="1:2" ht="13.5" customHeight="1" x14ac:dyDescent="0.2">
      <c r="A877" s="24"/>
      <c r="B877" s="24"/>
    </row>
    <row r="878" spans="1:2" ht="13.5" customHeight="1" x14ac:dyDescent="0.2">
      <c r="A878" s="24"/>
      <c r="B878" s="24"/>
    </row>
    <row r="879" spans="1:2" ht="13.5" customHeight="1" x14ac:dyDescent="0.2">
      <c r="A879" s="24"/>
      <c r="B879" s="24"/>
    </row>
    <row r="880" spans="1:2" ht="13.5" customHeight="1" x14ac:dyDescent="0.2">
      <c r="A880" s="24"/>
      <c r="B880" s="24"/>
    </row>
    <row r="881" spans="1:2" ht="13.5" customHeight="1" x14ac:dyDescent="0.2">
      <c r="A881" s="24"/>
      <c r="B881" s="24"/>
    </row>
    <row r="882" spans="1:2" ht="13.5" customHeight="1" x14ac:dyDescent="0.2">
      <c r="A882" s="24"/>
      <c r="B882" s="24"/>
    </row>
    <row r="883" spans="1:2" ht="13.5" customHeight="1" x14ac:dyDescent="0.2">
      <c r="A883" s="24"/>
      <c r="B883" s="24"/>
    </row>
    <row r="884" spans="1:2" ht="13.5" customHeight="1" x14ac:dyDescent="0.2">
      <c r="A884" s="24"/>
      <c r="B884" s="24"/>
    </row>
    <row r="885" spans="1:2" ht="13.5" customHeight="1" x14ac:dyDescent="0.2">
      <c r="A885" s="24"/>
      <c r="B885" s="24"/>
    </row>
    <row r="886" spans="1:2" ht="13.5" customHeight="1" x14ac:dyDescent="0.2">
      <c r="A886" s="24"/>
      <c r="B886" s="24"/>
    </row>
    <row r="887" spans="1:2" ht="13.5" customHeight="1" x14ac:dyDescent="0.2">
      <c r="A887" s="24"/>
      <c r="B887" s="24"/>
    </row>
    <row r="888" spans="1:2" ht="13.5" customHeight="1" x14ac:dyDescent="0.2">
      <c r="A888" s="24"/>
      <c r="B888" s="24"/>
    </row>
    <row r="889" spans="1:2" ht="13.5" customHeight="1" x14ac:dyDescent="0.2">
      <c r="A889" s="24"/>
      <c r="B889" s="24"/>
    </row>
    <row r="890" spans="1:2" ht="13.5" customHeight="1" x14ac:dyDescent="0.2">
      <c r="A890" s="24"/>
      <c r="B890" s="24"/>
    </row>
    <row r="891" spans="1:2" ht="13.5" customHeight="1" x14ac:dyDescent="0.2">
      <c r="A891" s="24"/>
      <c r="B891" s="24"/>
    </row>
    <row r="892" spans="1:2" ht="13.5" customHeight="1" x14ac:dyDescent="0.2">
      <c r="A892" s="24"/>
      <c r="B892" s="24"/>
    </row>
    <row r="893" spans="1:2" ht="13.5" customHeight="1" x14ac:dyDescent="0.2">
      <c r="A893" s="24"/>
      <c r="B893" s="24"/>
    </row>
    <row r="894" spans="1:2" ht="13.5" customHeight="1" x14ac:dyDescent="0.2">
      <c r="A894" s="24"/>
      <c r="B894" s="24"/>
    </row>
    <row r="895" spans="1:2" ht="13.5" customHeight="1" x14ac:dyDescent="0.2">
      <c r="A895" s="24"/>
      <c r="B895" s="24"/>
    </row>
    <row r="896" spans="1:2" ht="13.5" customHeight="1" x14ac:dyDescent="0.2">
      <c r="A896" s="24"/>
      <c r="B896" s="24"/>
    </row>
    <row r="897" spans="1:2" ht="13.5" customHeight="1" x14ac:dyDescent="0.2">
      <c r="A897" s="24"/>
      <c r="B897" s="24"/>
    </row>
    <row r="898" spans="1:2" ht="13.5" customHeight="1" x14ac:dyDescent="0.2">
      <c r="A898" s="24"/>
      <c r="B898" s="24"/>
    </row>
    <row r="899" spans="1:2" ht="13.5" customHeight="1" x14ac:dyDescent="0.2">
      <c r="A899" s="24"/>
      <c r="B899" s="24"/>
    </row>
    <row r="900" spans="1:2" ht="13.5" customHeight="1" x14ac:dyDescent="0.2">
      <c r="A900" s="24"/>
      <c r="B900" s="24"/>
    </row>
    <row r="901" spans="1:2" ht="13.5" customHeight="1" x14ac:dyDescent="0.2">
      <c r="A901" s="24"/>
      <c r="B901" s="24"/>
    </row>
    <row r="902" spans="1:2" ht="13.5" customHeight="1" x14ac:dyDescent="0.2">
      <c r="A902" s="24"/>
      <c r="B902" s="24"/>
    </row>
    <row r="903" spans="1:2" ht="13.5" customHeight="1" x14ac:dyDescent="0.2">
      <c r="A903" s="24"/>
      <c r="B903" s="24"/>
    </row>
    <row r="904" spans="1:2" ht="13.5" customHeight="1" x14ac:dyDescent="0.2">
      <c r="A904" s="24"/>
      <c r="B904" s="24"/>
    </row>
    <row r="905" spans="1:2" ht="13.5" customHeight="1" x14ac:dyDescent="0.2">
      <c r="A905" s="24"/>
      <c r="B905" s="24"/>
    </row>
    <row r="906" spans="1:2" ht="13.5" customHeight="1" x14ac:dyDescent="0.2">
      <c r="A906" s="24"/>
      <c r="B906" s="24"/>
    </row>
    <row r="907" spans="1:2" ht="13.5" customHeight="1" x14ac:dyDescent="0.2">
      <c r="A907" s="24"/>
      <c r="B907" s="24"/>
    </row>
    <row r="908" spans="1:2" ht="13.5" customHeight="1" x14ac:dyDescent="0.2">
      <c r="A908" s="24"/>
      <c r="B908" s="24"/>
    </row>
    <row r="909" spans="1:2" ht="13.5" customHeight="1" x14ac:dyDescent="0.2">
      <c r="A909" s="24"/>
      <c r="B909" s="24"/>
    </row>
    <row r="910" spans="1:2" ht="13.5" customHeight="1" x14ac:dyDescent="0.2">
      <c r="A910" s="24"/>
      <c r="B910" s="24"/>
    </row>
    <row r="911" spans="1:2" ht="13.5" customHeight="1" x14ac:dyDescent="0.2">
      <c r="A911" s="24"/>
      <c r="B911" s="24"/>
    </row>
    <row r="912" spans="1:2" ht="13.5" customHeight="1" x14ac:dyDescent="0.2">
      <c r="A912" s="24"/>
      <c r="B912" s="24"/>
    </row>
    <row r="913" spans="1:2" ht="13.5" customHeight="1" x14ac:dyDescent="0.2">
      <c r="A913" s="24"/>
      <c r="B913" s="24"/>
    </row>
    <row r="914" spans="1:2" ht="13.5" customHeight="1" x14ac:dyDescent="0.2">
      <c r="A914" s="24"/>
      <c r="B914" s="24"/>
    </row>
    <row r="915" spans="1:2" ht="13.5" customHeight="1" x14ac:dyDescent="0.2">
      <c r="A915" s="24"/>
      <c r="B915" s="24"/>
    </row>
    <row r="916" spans="1:2" ht="13.5" customHeight="1" x14ac:dyDescent="0.2">
      <c r="A916" s="24"/>
      <c r="B916" s="24"/>
    </row>
    <row r="917" spans="1:2" ht="13.5" customHeight="1" x14ac:dyDescent="0.2">
      <c r="A917" s="24"/>
      <c r="B917" s="24"/>
    </row>
    <row r="918" spans="1:2" ht="13.5" customHeight="1" x14ac:dyDescent="0.2">
      <c r="A918" s="24"/>
      <c r="B918" s="24"/>
    </row>
    <row r="919" spans="1:2" ht="13.5" customHeight="1" x14ac:dyDescent="0.2">
      <c r="A919" s="24"/>
      <c r="B919" s="24"/>
    </row>
    <row r="920" spans="1:2" ht="13.5" customHeight="1" x14ac:dyDescent="0.2">
      <c r="A920" s="24"/>
      <c r="B920" s="24"/>
    </row>
    <row r="921" spans="1:2" ht="13.5" customHeight="1" x14ac:dyDescent="0.2">
      <c r="A921" s="24"/>
      <c r="B921" s="24"/>
    </row>
    <row r="922" spans="1:2" ht="13.5" customHeight="1" x14ac:dyDescent="0.2">
      <c r="A922" s="24"/>
      <c r="B922" s="24"/>
    </row>
    <row r="923" spans="1:2" ht="13.5" customHeight="1" x14ac:dyDescent="0.2">
      <c r="A923" s="24"/>
      <c r="B923" s="24"/>
    </row>
    <row r="924" spans="1:2" ht="13.5" customHeight="1" x14ac:dyDescent="0.2">
      <c r="A924" s="24"/>
      <c r="B924" s="24"/>
    </row>
    <row r="925" spans="1:2" ht="13.5" customHeight="1" x14ac:dyDescent="0.2">
      <c r="A925" s="24"/>
      <c r="B925" s="24"/>
    </row>
    <row r="926" spans="1:2" ht="13.5" customHeight="1" x14ac:dyDescent="0.2">
      <c r="A926" s="24"/>
      <c r="B926" s="24"/>
    </row>
    <row r="927" spans="1:2" ht="13.5" customHeight="1" x14ac:dyDescent="0.2">
      <c r="A927" s="24"/>
      <c r="B927" s="24"/>
    </row>
    <row r="928" spans="1:2" ht="13.5" customHeight="1" x14ac:dyDescent="0.2">
      <c r="A928" s="24"/>
      <c r="B928" s="24"/>
    </row>
    <row r="929" spans="1:2" ht="13.5" customHeight="1" x14ac:dyDescent="0.2">
      <c r="A929" s="24"/>
      <c r="B929" s="24"/>
    </row>
    <row r="930" spans="1:2" ht="13.5" customHeight="1" x14ac:dyDescent="0.2">
      <c r="A930" s="24"/>
      <c r="B930" s="24"/>
    </row>
    <row r="931" spans="1:2" ht="13.5" customHeight="1" x14ac:dyDescent="0.2">
      <c r="A931" s="24"/>
      <c r="B931" s="24"/>
    </row>
    <row r="932" spans="1:2" ht="13.5" customHeight="1" x14ac:dyDescent="0.2">
      <c r="A932" s="24"/>
      <c r="B932" s="24"/>
    </row>
    <row r="933" spans="1:2" ht="13.5" customHeight="1" x14ac:dyDescent="0.2">
      <c r="A933" s="24"/>
      <c r="B933" s="24"/>
    </row>
    <row r="934" spans="1:2" ht="13.5" customHeight="1" x14ac:dyDescent="0.2">
      <c r="A934" s="24"/>
      <c r="B934" s="24"/>
    </row>
    <row r="935" spans="1:2" ht="13.5" customHeight="1" x14ac:dyDescent="0.2">
      <c r="A935" s="24"/>
      <c r="B935" s="24"/>
    </row>
    <row r="936" spans="1:2" ht="13.5" customHeight="1" x14ac:dyDescent="0.2">
      <c r="A936" s="24"/>
      <c r="B936" s="24"/>
    </row>
    <row r="937" spans="1:2" ht="13.5" customHeight="1" x14ac:dyDescent="0.2">
      <c r="A937" s="24"/>
      <c r="B937" s="24"/>
    </row>
    <row r="938" spans="1:2" ht="13.5" customHeight="1" x14ac:dyDescent="0.2">
      <c r="A938" s="24"/>
      <c r="B938" s="24"/>
    </row>
    <row r="939" spans="1:2" ht="13.5" customHeight="1" x14ac:dyDescent="0.2">
      <c r="A939" s="24"/>
      <c r="B939" s="24"/>
    </row>
    <row r="940" spans="1:2" ht="13.5" customHeight="1" x14ac:dyDescent="0.2">
      <c r="A940" s="24"/>
      <c r="B940" s="24"/>
    </row>
    <row r="941" spans="1:2" ht="13.5" customHeight="1" x14ac:dyDescent="0.2">
      <c r="A941" s="24"/>
      <c r="B941" s="24"/>
    </row>
    <row r="942" spans="1:2" ht="13.5" customHeight="1" x14ac:dyDescent="0.2">
      <c r="A942" s="24"/>
      <c r="B942" s="24"/>
    </row>
    <row r="943" spans="1:2" ht="13.5" customHeight="1" x14ac:dyDescent="0.2">
      <c r="A943" s="24"/>
      <c r="B943" s="24"/>
    </row>
    <row r="944" spans="1:2" ht="13.5" customHeight="1" x14ac:dyDescent="0.2">
      <c r="A944" s="24"/>
      <c r="B944" s="24"/>
    </row>
    <row r="945" spans="1:2" ht="13.5" customHeight="1" x14ac:dyDescent="0.2">
      <c r="A945" s="24"/>
      <c r="B945" s="24"/>
    </row>
    <row r="946" spans="1:2" ht="13.5" customHeight="1" x14ac:dyDescent="0.2">
      <c r="A946" s="24"/>
      <c r="B946" s="24"/>
    </row>
    <row r="947" spans="1:2" ht="13.5" customHeight="1" x14ac:dyDescent="0.2">
      <c r="A947" s="24"/>
      <c r="B947" s="24"/>
    </row>
    <row r="948" spans="1:2" ht="13.5" customHeight="1" x14ac:dyDescent="0.2">
      <c r="A948" s="24"/>
      <c r="B948" s="24"/>
    </row>
    <row r="949" spans="1:2" ht="13.5" customHeight="1" x14ac:dyDescent="0.2">
      <c r="A949" s="24"/>
      <c r="B949" s="24"/>
    </row>
    <row r="950" spans="1:2" ht="13.5" customHeight="1" x14ac:dyDescent="0.2">
      <c r="A950" s="24"/>
      <c r="B950" s="24"/>
    </row>
    <row r="951" spans="1:2" ht="13.5" customHeight="1" x14ac:dyDescent="0.2">
      <c r="A951" s="24"/>
      <c r="B951" s="24"/>
    </row>
    <row r="952" spans="1:2" ht="13.5" customHeight="1" x14ac:dyDescent="0.2">
      <c r="A952" s="24"/>
      <c r="B952" s="24"/>
    </row>
    <row r="953" spans="1:2" ht="13.5" customHeight="1" x14ac:dyDescent="0.2">
      <c r="A953" s="24"/>
      <c r="B953" s="24"/>
    </row>
    <row r="954" spans="1:2" ht="13.5" customHeight="1" x14ac:dyDescent="0.2">
      <c r="A954" s="24"/>
      <c r="B954" s="24"/>
    </row>
    <row r="955" spans="1:2" ht="13.5" customHeight="1" x14ac:dyDescent="0.2">
      <c r="A955" s="24"/>
      <c r="B955" s="24"/>
    </row>
    <row r="956" spans="1:2" ht="13.5" customHeight="1" x14ac:dyDescent="0.2">
      <c r="A956" s="24"/>
      <c r="B956" s="24"/>
    </row>
    <row r="957" spans="1:2" ht="13.5" customHeight="1" x14ac:dyDescent="0.2">
      <c r="A957" s="24"/>
      <c r="B957" s="24"/>
    </row>
    <row r="958" spans="1:2" ht="13.5" customHeight="1" x14ac:dyDescent="0.2">
      <c r="A958" s="24"/>
      <c r="B958" s="24"/>
    </row>
    <row r="959" spans="1:2" ht="13.5" customHeight="1" x14ac:dyDescent="0.2">
      <c r="A959" s="24"/>
      <c r="B959" s="24"/>
    </row>
    <row r="960" spans="1:2" ht="13.5" customHeight="1" x14ac:dyDescent="0.2">
      <c r="A960" s="24"/>
      <c r="B960" s="24"/>
    </row>
    <row r="961" spans="1:2" ht="13.5" customHeight="1" x14ac:dyDescent="0.2">
      <c r="A961" s="24"/>
      <c r="B961" s="24"/>
    </row>
    <row r="962" spans="1:2" ht="13.5" customHeight="1" x14ac:dyDescent="0.2">
      <c r="A962" s="24"/>
      <c r="B962" s="24"/>
    </row>
    <row r="963" spans="1:2" ht="13.5" customHeight="1" x14ac:dyDescent="0.2">
      <c r="A963" s="24"/>
      <c r="B963" s="24"/>
    </row>
    <row r="964" spans="1:2" ht="13.5" customHeight="1" x14ac:dyDescent="0.2">
      <c r="A964" s="24"/>
      <c r="B964" s="24"/>
    </row>
    <row r="965" spans="1:2" ht="13.5" customHeight="1" x14ac:dyDescent="0.2">
      <c r="A965" s="24"/>
      <c r="B965" s="24"/>
    </row>
    <row r="966" spans="1:2" ht="13.5" customHeight="1" x14ac:dyDescent="0.2">
      <c r="A966" s="24"/>
      <c r="B966" s="24"/>
    </row>
    <row r="967" spans="1:2" ht="13.5" customHeight="1" x14ac:dyDescent="0.2">
      <c r="A967" s="24"/>
      <c r="B967" s="24"/>
    </row>
    <row r="968" spans="1:2" ht="13.5" customHeight="1" x14ac:dyDescent="0.2">
      <c r="A968" s="24"/>
      <c r="B968" s="24"/>
    </row>
    <row r="969" spans="1:2" ht="13.5" customHeight="1" x14ac:dyDescent="0.2">
      <c r="A969" s="24"/>
      <c r="B969" s="24"/>
    </row>
    <row r="970" spans="1:2" ht="13.5" customHeight="1" x14ac:dyDescent="0.2">
      <c r="A970" s="24"/>
      <c r="B970" s="24"/>
    </row>
    <row r="971" spans="1:2" ht="13.5" customHeight="1" x14ac:dyDescent="0.2">
      <c r="A971" s="24"/>
      <c r="B971" s="24"/>
    </row>
    <row r="972" spans="1:2" ht="13.5" customHeight="1" x14ac:dyDescent="0.2">
      <c r="A972" s="24"/>
      <c r="B972" s="24"/>
    </row>
    <row r="973" spans="1:2" ht="13.5" customHeight="1" x14ac:dyDescent="0.2">
      <c r="A973" s="24"/>
      <c r="B973" s="24"/>
    </row>
    <row r="974" spans="1:2" ht="13.5" customHeight="1" x14ac:dyDescent="0.2">
      <c r="A974" s="24"/>
      <c r="B974" s="24"/>
    </row>
    <row r="975" spans="1:2" ht="13.5" customHeight="1" x14ac:dyDescent="0.2">
      <c r="A975" s="24"/>
      <c r="B975" s="24"/>
    </row>
    <row r="976" spans="1:2" ht="13.5" customHeight="1" x14ac:dyDescent="0.2">
      <c r="A976" s="24"/>
      <c r="B976" s="24"/>
    </row>
    <row r="977" spans="1:2" ht="13.5" customHeight="1" x14ac:dyDescent="0.2">
      <c r="A977" s="24"/>
      <c r="B977" s="24"/>
    </row>
    <row r="978" spans="1:2" ht="13.5" customHeight="1" x14ac:dyDescent="0.2">
      <c r="A978" s="24"/>
      <c r="B978" s="24"/>
    </row>
    <row r="979" spans="1:2" ht="13.5" customHeight="1" x14ac:dyDescent="0.2">
      <c r="A979" s="24"/>
      <c r="B979" s="24"/>
    </row>
    <row r="980" spans="1:2" ht="13.5" customHeight="1" x14ac:dyDescent="0.2">
      <c r="A980" s="24"/>
      <c r="B980" s="24"/>
    </row>
    <row r="981" spans="1:2" ht="13.5" customHeight="1" x14ac:dyDescent="0.2">
      <c r="A981" s="24"/>
      <c r="B981" s="24"/>
    </row>
    <row r="982" spans="1:2" ht="13.5" customHeight="1" x14ac:dyDescent="0.2">
      <c r="A982" s="24"/>
      <c r="B982" s="24"/>
    </row>
    <row r="983" spans="1:2" ht="13.5" customHeight="1" x14ac:dyDescent="0.2">
      <c r="A983" s="24"/>
      <c r="B983" s="24"/>
    </row>
    <row r="984" spans="1:2" ht="13.5" customHeight="1" x14ac:dyDescent="0.2">
      <c r="A984" s="24"/>
      <c r="B984" s="24"/>
    </row>
    <row r="985" spans="1:2" ht="13.5" customHeight="1" x14ac:dyDescent="0.2">
      <c r="A985" s="24"/>
      <c r="B985" s="24"/>
    </row>
    <row r="986" spans="1:2" ht="13.5" customHeight="1" x14ac:dyDescent="0.2">
      <c r="A986" s="24"/>
      <c r="B986" s="24"/>
    </row>
    <row r="987" spans="1:2" ht="13.5" customHeight="1" x14ac:dyDescent="0.2">
      <c r="A987" s="24"/>
      <c r="B987" s="24"/>
    </row>
    <row r="988" spans="1:2" ht="13.5" customHeight="1" x14ac:dyDescent="0.2">
      <c r="A988" s="24"/>
      <c r="B988" s="24"/>
    </row>
    <row r="989" spans="1:2" ht="13.5" customHeight="1" x14ac:dyDescent="0.2">
      <c r="A989" s="24"/>
      <c r="B989" s="24"/>
    </row>
    <row r="990" spans="1:2" ht="13.5" customHeight="1" x14ac:dyDescent="0.2">
      <c r="A990" s="24"/>
      <c r="B990" s="24"/>
    </row>
    <row r="991" spans="1:2" ht="13.5" customHeight="1" x14ac:dyDescent="0.2">
      <c r="A991" s="24"/>
      <c r="B991" s="24"/>
    </row>
    <row r="992" spans="1:2" ht="13.5" customHeight="1" x14ac:dyDescent="0.2">
      <c r="A992" s="24"/>
      <c r="B992" s="24"/>
    </row>
    <row r="993" spans="1:2" ht="13.5" customHeight="1" x14ac:dyDescent="0.2">
      <c r="A993" s="24"/>
      <c r="B993" s="24"/>
    </row>
    <row r="994" spans="1:2" ht="13.5" customHeight="1" x14ac:dyDescent="0.2">
      <c r="A994" s="24"/>
      <c r="B994" s="24"/>
    </row>
    <row r="995" spans="1:2" ht="13.5" customHeight="1" x14ac:dyDescent="0.2">
      <c r="A995" s="24"/>
      <c r="B995" s="24"/>
    </row>
    <row r="996" spans="1:2" ht="13.5" customHeight="1" x14ac:dyDescent="0.2">
      <c r="A996" s="24"/>
      <c r="B996" s="24"/>
    </row>
    <row r="997" spans="1:2" ht="13.5" customHeight="1" x14ac:dyDescent="0.2">
      <c r="A997" s="24"/>
      <c r="B997" s="24"/>
    </row>
    <row r="998" spans="1:2" ht="13.5" customHeight="1" x14ac:dyDescent="0.2">
      <c r="A998" s="24"/>
      <c r="B998" s="24"/>
    </row>
    <row r="999" spans="1:2" ht="13.5" customHeight="1" x14ac:dyDescent="0.2">
      <c r="A999" s="24"/>
      <c r="B999" s="24"/>
    </row>
    <row r="1000" spans="1:2" ht="13.5" customHeight="1" x14ac:dyDescent="0.2">
      <c r="A1000" s="24"/>
      <c r="B1000" s="24"/>
    </row>
    <row r="1001" spans="1:2" ht="13.5" customHeight="1" x14ac:dyDescent="0.2">
      <c r="A1001" s="24"/>
      <c r="B1001" s="24"/>
    </row>
    <row r="1002" spans="1:2" ht="13.5" customHeight="1" x14ac:dyDescent="0.2">
      <c r="A1002" s="24"/>
      <c r="B1002" s="24"/>
    </row>
    <row r="1003" spans="1:2" ht="13.5" customHeight="1" x14ac:dyDescent="0.2">
      <c r="A1003" s="24"/>
      <c r="B1003" s="24"/>
    </row>
    <row r="1004" spans="1:2" ht="13.5" customHeight="1" x14ac:dyDescent="0.2">
      <c r="A1004" s="24"/>
      <c r="B1004" s="24"/>
    </row>
    <row r="1005" spans="1:2" ht="13.5" customHeight="1" x14ac:dyDescent="0.2">
      <c r="A1005" s="24"/>
      <c r="B1005" s="24"/>
    </row>
    <row r="1006" spans="1:2" ht="13.5" customHeight="1" x14ac:dyDescent="0.2">
      <c r="A1006" s="24"/>
      <c r="B1006" s="24"/>
    </row>
    <row r="1007" spans="1:2" ht="13.5" customHeight="1" x14ac:dyDescent="0.2">
      <c r="A1007" s="24"/>
      <c r="B1007" s="24"/>
    </row>
    <row r="1008" spans="1:2" ht="13.5" customHeight="1" x14ac:dyDescent="0.2">
      <c r="A1008" s="24"/>
      <c r="B1008" s="24"/>
    </row>
    <row r="1009" spans="1:2" ht="13.5" customHeight="1" x14ac:dyDescent="0.2">
      <c r="A1009" s="24"/>
      <c r="B1009" s="24"/>
    </row>
    <row r="1010" spans="1:2" ht="13.5" customHeight="1" x14ac:dyDescent="0.2">
      <c r="A1010" s="24"/>
      <c r="B1010" s="24"/>
    </row>
    <row r="1011" spans="1:2" ht="13.5" customHeight="1" x14ac:dyDescent="0.2">
      <c r="A1011" s="24"/>
      <c r="B1011" s="24"/>
    </row>
    <row r="1012" spans="1:2" ht="13.5" customHeight="1" x14ac:dyDescent="0.2">
      <c r="A1012" s="24"/>
      <c r="B1012" s="24"/>
    </row>
    <row r="1013" spans="1:2" ht="13.5" customHeight="1" x14ac:dyDescent="0.2">
      <c r="A1013" s="24"/>
      <c r="B1013" s="24"/>
    </row>
    <row r="1014" spans="1:2" ht="13.5" customHeight="1" x14ac:dyDescent="0.2">
      <c r="A1014" s="24"/>
      <c r="B1014" s="24"/>
    </row>
    <row r="1015" spans="1:2" ht="13.5" customHeight="1" x14ac:dyDescent="0.2">
      <c r="A1015" s="24"/>
      <c r="B1015" s="24"/>
    </row>
    <row r="1016" spans="1:2" ht="13.5" customHeight="1" x14ac:dyDescent="0.2">
      <c r="A1016" s="24"/>
      <c r="B1016" s="24"/>
    </row>
    <row r="1017" spans="1:2" ht="13.5" customHeight="1" x14ac:dyDescent="0.2">
      <c r="A1017" s="24"/>
      <c r="B1017" s="24"/>
    </row>
    <row r="1018" spans="1:2" ht="13.5" customHeight="1" x14ac:dyDescent="0.2">
      <c r="A1018" s="24"/>
      <c r="B1018" s="24"/>
    </row>
    <row r="1019" spans="1:2" ht="13.5" customHeight="1" x14ac:dyDescent="0.2">
      <c r="A1019" s="24"/>
      <c r="B1019" s="24"/>
    </row>
    <row r="1020" spans="1:2" ht="13.5" customHeight="1" x14ac:dyDescent="0.2">
      <c r="A1020" s="24"/>
      <c r="B1020" s="24"/>
    </row>
    <row r="1021" spans="1:2" ht="13.5" customHeight="1" x14ac:dyDescent="0.2">
      <c r="A1021" s="24"/>
      <c r="B1021" s="24"/>
    </row>
    <row r="1022" spans="1:2" ht="13.5" customHeight="1" x14ac:dyDescent="0.2">
      <c r="A1022" s="24"/>
      <c r="B1022" s="24"/>
    </row>
    <row r="1023" spans="1:2" ht="13.5" customHeight="1" x14ac:dyDescent="0.2">
      <c r="A1023" s="24"/>
      <c r="B1023" s="24"/>
    </row>
    <row r="1024" spans="1:2" ht="13.5" customHeight="1" x14ac:dyDescent="0.2">
      <c r="A1024" s="24"/>
      <c r="B1024" s="24"/>
    </row>
    <row r="1025" spans="1:2" ht="13.5" customHeight="1" x14ac:dyDescent="0.2">
      <c r="A1025" s="24"/>
      <c r="B1025" s="24"/>
    </row>
    <row r="1026" spans="1:2" ht="13.5" customHeight="1" x14ac:dyDescent="0.2">
      <c r="A1026" s="24"/>
      <c r="B1026" s="24"/>
    </row>
    <row r="1027" spans="1:2" ht="13.5" customHeight="1" x14ac:dyDescent="0.2">
      <c r="A1027" s="24"/>
      <c r="B1027" s="24"/>
    </row>
    <row r="1028" spans="1:2" ht="13.5" customHeight="1" x14ac:dyDescent="0.2">
      <c r="A1028" s="24"/>
      <c r="B1028" s="24"/>
    </row>
    <row r="1029" spans="1:2" ht="13.5" customHeight="1" x14ac:dyDescent="0.2">
      <c r="A1029" s="24"/>
      <c r="B1029" s="24"/>
    </row>
    <row r="1030" spans="1:2" ht="13.5" customHeight="1" x14ac:dyDescent="0.2">
      <c r="A1030" s="24"/>
      <c r="B1030" s="24"/>
    </row>
    <row r="1031" spans="1:2" ht="13.5" customHeight="1" x14ac:dyDescent="0.2">
      <c r="A1031" s="24"/>
      <c r="B1031" s="24"/>
    </row>
    <row r="1032" spans="1:2" ht="13.5" customHeight="1" x14ac:dyDescent="0.2">
      <c r="A1032" s="24"/>
      <c r="B1032" s="24"/>
    </row>
    <row r="1033" spans="1:2" ht="13.5" customHeight="1" x14ac:dyDescent="0.2">
      <c r="A1033" s="24"/>
      <c r="B1033" s="24"/>
    </row>
    <row r="1034" spans="1:2" ht="13.5" customHeight="1" x14ac:dyDescent="0.2">
      <c r="A1034" s="24"/>
      <c r="B1034" s="24"/>
    </row>
    <row r="1035" spans="1:2" ht="13.5" customHeight="1" x14ac:dyDescent="0.2">
      <c r="A1035" s="24"/>
      <c r="B1035" s="24"/>
    </row>
    <row r="1036" spans="1:2" ht="13.5" customHeight="1" x14ac:dyDescent="0.2">
      <c r="A1036" s="24"/>
      <c r="B1036" s="24"/>
    </row>
    <row r="1037" spans="1:2" ht="13.5" customHeight="1" x14ac:dyDescent="0.2">
      <c r="A1037" s="24"/>
      <c r="B1037" s="24"/>
    </row>
    <row r="1038" spans="1:2" ht="13.5" customHeight="1" x14ac:dyDescent="0.2">
      <c r="A1038" s="24"/>
      <c r="B1038" s="24"/>
    </row>
  </sheetData>
  <mergeCells count="65">
    <mergeCell ref="A1:E1"/>
    <mergeCell ref="A11:E11"/>
    <mergeCell ref="C12:D12"/>
    <mergeCell ref="C13:D13"/>
    <mergeCell ref="C15:D15"/>
    <mergeCell ref="C14:D14"/>
    <mergeCell ref="A18:E18"/>
    <mergeCell ref="C19:D19"/>
    <mergeCell ref="C20:D20"/>
    <mergeCell ref="C22:D22"/>
    <mergeCell ref="A27:E27"/>
    <mergeCell ref="C21:D21"/>
    <mergeCell ref="C24:D24"/>
    <mergeCell ref="C23:D23"/>
    <mergeCell ref="C28:D28"/>
    <mergeCell ref="C29:D29"/>
    <mergeCell ref="C31:D31"/>
    <mergeCell ref="A34:C34"/>
    <mergeCell ref="A36:C36"/>
    <mergeCell ref="C30:D30"/>
    <mergeCell ref="A41:C42"/>
    <mergeCell ref="A48:C48"/>
    <mergeCell ref="A52:C52"/>
    <mergeCell ref="A55:C55"/>
    <mergeCell ref="A58:C58"/>
    <mergeCell ref="A66:C66"/>
    <mergeCell ref="A73:E73"/>
    <mergeCell ref="A74:B74"/>
    <mergeCell ref="C74:D74"/>
    <mergeCell ref="A75:B75"/>
    <mergeCell ref="C75:D75"/>
    <mergeCell ref="A76:B78"/>
    <mergeCell ref="C76:D76"/>
    <mergeCell ref="C77:D77"/>
    <mergeCell ref="C78:D78"/>
    <mergeCell ref="A79:B79"/>
    <mergeCell ref="C79:D79"/>
    <mergeCell ref="C80:D80"/>
    <mergeCell ref="A82:E82"/>
    <mergeCell ref="A83:B83"/>
    <mergeCell ref="C83:D83"/>
    <mergeCell ref="A84:B84"/>
    <mergeCell ref="C84:D84"/>
    <mergeCell ref="C85:D85"/>
    <mergeCell ref="C91:D91"/>
    <mergeCell ref="A94:E94"/>
    <mergeCell ref="A95:B95"/>
    <mergeCell ref="C95:D95"/>
    <mergeCell ref="C86:D86"/>
    <mergeCell ref="C87:D87"/>
    <mergeCell ref="C89:D89"/>
    <mergeCell ref="A90:B90"/>
    <mergeCell ref="C90:D90"/>
    <mergeCell ref="C88:D88"/>
    <mergeCell ref="A85:B89"/>
    <mergeCell ref="C102:D102"/>
    <mergeCell ref="A96:B96"/>
    <mergeCell ref="C96:D96"/>
    <mergeCell ref="A101:B101"/>
    <mergeCell ref="C101:D101"/>
    <mergeCell ref="C98:D98"/>
    <mergeCell ref="C99:D99"/>
    <mergeCell ref="C100:D100"/>
    <mergeCell ref="C97:D97"/>
    <mergeCell ref="A97:B100"/>
  </mergeCells>
  <conditionalFormatting sqref="C8:C9 E75">
    <cfRule type="cellIs" dxfId="7" priority="2" operator="greaterThanOrEqual">
      <formula>0</formula>
    </cfRule>
    <cfRule type="cellIs" dxfId="6" priority="3" operator="lessThan">
      <formula>0</formula>
    </cfRule>
  </conditionalFormatting>
  <conditionalFormatting sqref="E80 E84 E91 E96 E102">
    <cfRule type="cellIs" dxfId="5" priority="4" operator="greaterThanOrEqual">
      <formula>0</formula>
    </cfRule>
    <cfRule type="cellIs" dxfId="4" priority="5" operator="lessThan">
      <formula>0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D833F-4941-DA48-8974-C05250C51A36}">
  <dimension ref="A1:Y1036"/>
  <sheetViews>
    <sheetView topLeftCell="A41" zoomScale="150" zoomScaleNormal="150" workbookViewId="0">
      <selection activeCell="C76" sqref="C76:D76"/>
    </sheetView>
  </sheetViews>
  <sheetFormatPr baseColWidth="10" defaultColWidth="14.33203125" defaultRowHeight="15" x14ac:dyDescent="0.2"/>
  <cols>
    <col min="1" max="1" width="21.5" customWidth="1"/>
    <col min="2" max="2" width="28" customWidth="1"/>
    <col min="3" max="3" width="41.83203125" customWidth="1"/>
    <col min="4" max="4" width="26.5" customWidth="1"/>
    <col min="5" max="5" width="22" customWidth="1"/>
    <col min="6" max="7" width="9" customWidth="1"/>
    <col min="8" max="8" width="24.5" customWidth="1"/>
    <col min="9" max="9" width="19.5" customWidth="1"/>
    <col min="10" max="25" width="9" customWidth="1"/>
  </cols>
  <sheetData>
    <row r="1" spans="1:25" ht="19.5" customHeight="1" x14ac:dyDescent="0.2">
      <c r="A1" s="97" t="s">
        <v>173</v>
      </c>
      <c r="B1" s="97"/>
      <c r="C1" s="97"/>
      <c r="D1" s="97"/>
      <c r="E1" s="97"/>
      <c r="F1" s="5"/>
      <c r="G1" s="5"/>
      <c r="H1" s="5"/>
      <c r="I1" s="5"/>
    </row>
    <row r="2" spans="1:25" ht="13.5" customHeight="1" x14ac:dyDescent="0.2">
      <c r="A2" s="6"/>
      <c r="B2" s="6"/>
      <c r="C2" s="7"/>
      <c r="D2" s="7"/>
      <c r="E2" s="7"/>
    </row>
    <row r="3" spans="1:25" ht="81" customHeight="1" x14ac:dyDescent="0.2">
      <c r="A3" s="8" t="s">
        <v>0</v>
      </c>
      <c r="B3" s="57" t="s">
        <v>169</v>
      </c>
      <c r="C3" s="9">
        <f>'April 2026 - June 2026'!C3</f>
        <v>41.51</v>
      </c>
      <c r="D3" s="10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spans="1:25" ht="35.25" customHeight="1" x14ac:dyDescent="0.2">
      <c r="A4" s="8"/>
      <c r="B4" s="8" t="s">
        <v>1</v>
      </c>
      <c r="C4" s="9">
        <f>'April 2026 - June 2026'!C4</f>
        <v>724.7</v>
      </c>
      <c r="D4" s="10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</row>
    <row r="5" spans="1:25" ht="54" customHeight="1" x14ac:dyDescent="0.2">
      <c r="A5" s="8"/>
      <c r="B5" s="8" t="s">
        <v>170</v>
      </c>
      <c r="C5" s="9">
        <f>'April 2026 - June 2026'!C5</f>
        <v>0</v>
      </c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35.25" customHeight="1" x14ac:dyDescent="0.2">
      <c r="A6" s="8"/>
      <c r="B6" s="8" t="s">
        <v>2</v>
      </c>
      <c r="C6" s="9">
        <f>'April 2026 - June 2026'!C6</f>
        <v>0</v>
      </c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ht="35.25" customHeight="1" x14ac:dyDescent="0.2">
      <c r="A7" s="8"/>
      <c r="B7" s="8" t="s">
        <v>166</v>
      </c>
      <c r="C7" s="9">
        <v>9</v>
      </c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ht="35.25" customHeight="1" x14ac:dyDescent="0.2">
      <c r="A8" s="8"/>
      <c r="B8" s="8" t="s">
        <v>3</v>
      </c>
      <c r="C8" s="9">
        <f>'April 2026 - June 2026'!C8</f>
        <v>31.7</v>
      </c>
      <c r="D8" s="10"/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ht="35.25" customHeight="1" x14ac:dyDescent="0.2">
      <c r="A9" s="8"/>
      <c r="B9" s="8" t="s">
        <v>4</v>
      </c>
      <c r="C9" s="9">
        <f>'April 2026 - June 2026'!C9</f>
        <v>806.91000000000008</v>
      </c>
      <c r="D9" s="10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ht="13.5" customHeight="1" x14ac:dyDescent="0.2">
      <c r="A10" s="12"/>
      <c r="B10" s="12"/>
      <c r="C10" s="12"/>
      <c r="D10" s="12"/>
      <c r="E10" s="12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ht="13.5" customHeight="1" x14ac:dyDescent="0.2">
      <c r="A11" s="98" t="s">
        <v>147</v>
      </c>
      <c r="B11" s="98"/>
      <c r="C11" s="98"/>
      <c r="D11" s="98"/>
      <c r="E11" s="98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ht="13.5" customHeight="1" x14ac:dyDescent="0.2">
      <c r="A12" s="13" t="s">
        <v>6</v>
      </c>
      <c r="B12" s="14" t="s">
        <v>7</v>
      </c>
      <c r="C12" s="99" t="s">
        <v>8</v>
      </c>
      <c r="D12" s="99"/>
      <c r="E12" s="4" t="s">
        <v>9</v>
      </c>
    </row>
    <row r="13" spans="1:25" ht="13.5" customHeight="1" x14ac:dyDescent="0.2">
      <c r="A13" s="58" t="s">
        <v>143</v>
      </c>
      <c r="B13" s="58" t="s">
        <v>11</v>
      </c>
      <c r="C13" s="100" t="s">
        <v>12</v>
      </c>
      <c r="D13" s="100"/>
      <c r="E13" s="59">
        <v>2485</v>
      </c>
    </row>
    <row r="14" spans="1:25" ht="21" customHeight="1" x14ac:dyDescent="0.2">
      <c r="A14" s="50" t="s">
        <v>143</v>
      </c>
      <c r="B14" s="50"/>
      <c r="C14" s="102" t="s">
        <v>183</v>
      </c>
      <c r="D14" s="103"/>
      <c r="E14" s="33">
        <v>55</v>
      </c>
      <c r="H14" s="106"/>
      <c r="I14" s="106"/>
    </row>
    <row r="15" spans="1:25" ht="13.5" customHeight="1" x14ac:dyDescent="0.2">
      <c r="A15" s="50" t="s">
        <v>143</v>
      </c>
      <c r="B15" s="50" t="s">
        <v>21</v>
      </c>
      <c r="C15" s="104" t="s">
        <v>180</v>
      </c>
      <c r="D15" s="105"/>
      <c r="E15" s="33">
        <v>136</v>
      </c>
      <c r="H15" s="106"/>
      <c r="I15" s="106"/>
    </row>
    <row r="16" spans="1:25" ht="20" customHeight="1" x14ac:dyDescent="0.2">
      <c r="A16" s="50" t="s">
        <v>143</v>
      </c>
      <c r="B16" s="50" t="s">
        <v>25</v>
      </c>
      <c r="C16" s="104" t="s">
        <v>178</v>
      </c>
      <c r="D16" s="105"/>
      <c r="E16" s="33">
        <v>100</v>
      </c>
      <c r="H16" s="106"/>
      <c r="I16" s="106"/>
    </row>
    <row r="17" spans="1:25" ht="24" customHeight="1" x14ac:dyDescent="0.2">
      <c r="A17" s="50" t="s">
        <v>143</v>
      </c>
      <c r="B17" s="50" t="s">
        <v>179</v>
      </c>
      <c r="C17" s="101" t="s">
        <v>177</v>
      </c>
      <c r="D17" s="93"/>
      <c r="E17" s="29">
        <v>54.72</v>
      </c>
      <c r="H17" s="106"/>
      <c r="I17" s="106"/>
    </row>
    <row r="18" spans="1:25" ht="13.5" customHeight="1" x14ac:dyDescent="0.2">
      <c r="A18" s="24"/>
      <c r="B18" s="24"/>
      <c r="C18" s="5"/>
      <c r="D18" s="25" t="s">
        <v>27</v>
      </c>
      <c r="E18" s="26">
        <f>SUM(E13:E17)</f>
        <v>2830.72</v>
      </c>
      <c r="H18" s="106"/>
      <c r="I18" s="106"/>
    </row>
    <row r="19" spans="1:25" ht="13.5" customHeight="1" x14ac:dyDescent="0.2">
      <c r="B19" s="24"/>
      <c r="H19" s="60"/>
    </row>
    <row r="20" spans="1:25" ht="13.5" customHeight="1" x14ac:dyDescent="0.2">
      <c r="A20" s="91" t="s">
        <v>148</v>
      </c>
      <c r="B20" s="91"/>
      <c r="C20" s="91"/>
      <c r="D20" s="91"/>
      <c r="E20" s="9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ht="13.5" customHeight="1" x14ac:dyDescent="0.2">
      <c r="A21" s="31" t="s">
        <v>6</v>
      </c>
      <c r="B21" s="32" t="s">
        <v>7</v>
      </c>
      <c r="C21" s="92" t="s">
        <v>8</v>
      </c>
      <c r="D21" s="92"/>
      <c r="E21" s="2" t="s">
        <v>9</v>
      </c>
    </row>
    <row r="22" spans="1:25" ht="13.5" customHeight="1" x14ac:dyDescent="0.2">
      <c r="A22" s="50" t="s">
        <v>149</v>
      </c>
      <c r="B22" s="6" t="s">
        <v>11</v>
      </c>
      <c r="C22" s="93" t="s">
        <v>12</v>
      </c>
      <c r="D22" s="93"/>
      <c r="E22" s="29">
        <v>2485</v>
      </c>
    </row>
    <row r="23" spans="1:25" ht="19" customHeight="1" x14ac:dyDescent="0.2">
      <c r="A23" s="54"/>
      <c r="B23" s="54"/>
      <c r="C23" s="107"/>
      <c r="D23" s="108"/>
      <c r="E23" s="29">
        <v>0</v>
      </c>
    </row>
    <row r="24" spans="1:25" ht="13.5" customHeight="1" x14ac:dyDescent="0.2">
      <c r="A24" s="24"/>
      <c r="B24" s="24"/>
      <c r="C24" s="5"/>
      <c r="D24" s="25" t="s">
        <v>27</v>
      </c>
      <c r="E24" s="26">
        <f>SUM(E22:E23)</f>
        <v>2485</v>
      </c>
    </row>
    <row r="25" spans="1:25" ht="13.5" customHeight="1" x14ac:dyDescent="0.2">
      <c r="A25" s="24"/>
      <c r="B25" s="24"/>
    </row>
    <row r="26" spans="1:25" ht="13.5" customHeight="1" x14ac:dyDescent="0.2">
      <c r="A26" s="91" t="s">
        <v>153</v>
      </c>
      <c r="B26" s="91"/>
      <c r="C26" s="91"/>
      <c r="D26" s="91"/>
      <c r="E26" s="9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ht="13.5" customHeight="1" x14ac:dyDescent="0.2">
      <c r="A27" s="31" t="s">
        <v>6</v>
      </c>
      <c r="B27" s="32" t="s">
        <v>7</v>
      </c>
      <c r="C27" s="92" t="s">
        <v>8</v>
      </c>
      <c r="D27" s="92"/>
      <c r="E27" s="2" t="s">
        <v>9</v>
      </c>
    </row>
    <row r="28" spans="1:25" ht="13.5" customHeight="1" x14ac:dyDescent="0.2">
      <c r="A28" s="50" t="s">
        <v>145</v>
      </c>
      <c r="B28" s="6" t="s">
        <v>11</v>
      </c>
      <c r="C28" s="93" t="s">
        <v>12</v>
      </c>
      <c r="D28" s="93"/>
      <c r="E28" s="33">
        <v>2485</v>
      </c>
    </row>
    <row r="29" spans="1:25" ht="13.5" customHeight="1" x14ac:dyDescent="0.2">
      <c r="A29" s="6"/>
      <c r="B29" s="6"/>
      <c r="C29" s="93"/>
      <c r="D29" s="93"/>
      <c r="E29" s="29">
        <v>0</v>
      </c>
    </row>
    <row r="30" spans="1:25" ht="13.5" customHeight="1" x14ac:dyDescent="0.2">
      <c r="A30" s="24"/>
      <c r="B30" s="24"/>
      <c r="C30" s="5"/>
      <c r="D30" s="34" t="s">
        <v>27</v>
      </c>
      <c r="E30" s="35">
        <f>SUM(E28:E29)</f>
        <v>2485</v>
      </c>
    </row>
    <row r="31" spans="1:25" ht="13.5" customHeight="1" x14ac:dyDescent="0.2">
      <c r="A31" s="24"/>
      <c r="B31" s="24"/>
    </row>
    <row r="32" spans="1:25" ht="15" customHeight="1" x14ac:dyDescent="0.2">
      <c r="A32" s="94" t="s">
        <v>146</v>
      </c>
      <c r="B32" s="94"/>
      <c r="C32" s="94"/>
    </row>
    <row r="33" spans="1:4" ht="17" x14ac:dyDescent="0.2">
      <c r="A33" s="1" t="s">
        <v>7</v>
      </c>
      <c r="B33" s="1" t="s">
        <v>8</v>
      </c>
      <c r="C33" s="36" t="s">
        <v>9</v>
      </c>
      <c r="D33" s="37"/>
    </row>
    <row r="34" spans="1:4" ht="13.5" customHeight="1" x14ac:dyDescent="0.2">
      <c r="A34" s="95" t="s">
        <v>38</v>
      </c>
      <c r="B34" s="95"/>
      <c r="C34" s="95"/>
    </row>
    <row r="35" spans="1:4" ht="13.5" customHeight="1" x14ac:dyDescent="0.2">
      <c r="A35" s="50" t="s">
        <v>14</v>
      </c>
      <c r="B35" s="50" t="s">
        <v>108</v>
      </c>
      <c r="C35" s="33">
        <v>78</v>
      </c>
    </row>
    <row r="36" spans="1:4" ht="13.5" customHeight="1" x14ac:dyDescent="0.2">
      <c r="A36" s="17" t="s">
        <v>39</v>
      </c>
      <c r="B36" s="17" t="s">
        <v>40</v>
      </c>
      <c r="C36" s="38">
        <v>0</v>
      </c>
    </row>
    <row r="37" spans="1:4" ht="13.5" customHeight="1" x14ac:dyDescent="0.2">
      <c r="A37" s="17" t="s">
        <v>41</v>
      </c>
      <c r="B37" s="17" t="s">
        <v>42</v>
      </c>
      <c r="C37" s="38">
        <v>138</v>
      </c>
    </row>
    <row r="38" spans="1:4" ht="13.5" customHeight="1" x14ac:dyDescent="0.2">
      <c r="A38" s="7"/>
      <c r="B38" s="6" t="s">
        <v>43</v>
      </c>
      <c r="C38" s="39">
        <f>SUM(C35:C37)</f>
        <v>216</v>
      </c>
    </row>
    <row r="39" spans="1:4" ht="13.5" customHeight="1" x14ac:dyDescent="0.2">
      <c r="A39" s="96" t="s">
        <v>44</v>
      </c>
      <c r="B39" s="96"/>
      <c r="C39" s="96"/>
    </row>
    <row r="40" spans="1:4" ht="13.5" customHeight="1" x14ac:dyDescent="0.2">
      <c r="A40" s="96"/>
      <c r="B40" s="96"/>
      <c r="C40" s="96"/>
    </row>
    <row r="41" spans="1:4" ht="13.5" customHeight="1" x14ac:dyDescent="0.2">
      <c r="A41" s="6" t="s">
        <v>45</v>
      </c>
      <c r="B41" s="6"/>
      <c r="C41" s="29">
        <v>0</v>
      </c>
    </row>
    <row r="42" spans="1:4" ht="13.5" customHeight="1" x14ac:dyDescent="0.2">
      <c r="A42" s="6" t="s">
        <v>46</v>
      </c>
      <c r="B42" s="6"/>
      <c r="C42" s="19">
        <v>0</v>
      </c>
    </row>
    <row r="43" spans="1:4" ht="13.5" customHeight="1" x14ac:dyDescent="0.2">
      <c r="A43" s="6" t="s">
        <v>47</v>
      </c>
      <c r="B43" s="6"/>
      <c r="C43" s="19">
        <v>0</v>
      </c>
    </row>
    <row r="44" spans="1:4" ht="13.5" customHeight="1" x14ac:dyDescent="0.2">
      <c r="A44" s="6" t="s">
        <v>48</v>
      </c>
      <c r="B44" s="6"/>
      <c r="C44" s="19">
        <v>0</v>
      </c>
    </row>
    <row r="45" spans="1:4" ht="13.5" customHeight="1" x14ac:dyDescent="0.2">
      <c r="A45" s="6"/>
      <c r="B45" s="6" t="s">
        <v>49</v>
      </c>
      <c r="C45" s="39">
        <f>SUM(C41:C44)</f>
        <v>0</v>
      </c>
    </row>
    <row r="46" spans="1:4" ht="13.5" customHeight="1" x14ac:dyDescent="0.2">
      <c r="A46" s="95" t="s">
        <v>50</v>
      </c>
      <c r="B46" s="95"/>
      <c r="C46" s="95"/>
    </row>
    <row r="47" spans="1:4" ht="13.5" customHeight="1" x14ac:dyDescent="0.2">
      <c r="A47" s="6" t="s">
        <v>51</v>
      </c>
      <c r="B47" s="6" t="s">
        <v>52</v>
      </c>
      <c r="C47" s="33">
        <v>0</v>
      </c>
    </row>
    <row r="48" spans="1:4" ht="13.5" customHeight="1" x14ac:dyDescent="0.2">
      <c r="A48" s="6" t="s">
        <v>53</v>
      </c>
      <c r="B48" s="6" t="s">
        <v>54</v>
      </c>
      <c r="C48" s="33">
        <v>0</v>
      </c>
    </row>
    <row r="49" spans="1:3" ht="13.5" customHeight="1" x14ac:dyDescent="0.2">
      <c r="A49" s="6"/>
      <c r="B49" s="6" t="s">
        <v>55</v>
      </c>
      <c r="C49" s="39">
        <f>SUM(C47:C48)</f>
        <v>0</v>
      </c>
    </row>
    <row r="50" spans="1:3" ht="13.5" customHeight="1" x14ac:dyDescent="0.2">
      <c r="A50" s="95" t="s">
        <v>56</v>
      </c>
      <c r="B50" s="95"/>
      <c r="C50" s="95"/>
    </row>
    <row r="51" spans="1:3" ht="13.5" customHeight="1" x14ac:dyDescent="0.2">
      <c r="A51" s="6" t="s">
        <v>57</v>
      </c>
      <c r="B51" s="6" t="s">
        <v>58</v>
      </c>
      <c r="C51" s="29">
        <v>0</v>
      </c>
    </row>
    <row r="52" spans="1:3" ht="13.5" customHeight="1" x14ac:dyDescent="0.2">
      <c r="A52" s="17"/>
      <c r="B52" s="17" t="s">
        <v>59</v>
      </c>
      <c r="C52" s="39">
        <f>SUM(C51)</f>
        <v>0</v>
      </c>
    </row>
    <row r="53" spans="1:3" ht="13.5" customHeight="1" x14ac:dyDescent="0.2">
      <c r="A53" s="95" t="s">
        <v>60</v>
      </c>
      <c r="B53" s="95"/>
      <c r="C53" s="95"/>
    </row>
    <row r="54" spans="1:3" ht="13.5" customHeight="1" x14ac:dyDescent="0.2">
      <c r="A54" s="6" t="s">
        <v>61</v>
      </c>
      <c r="B54" s="6" t="s">
        <v>62</v>
      </c>
      <c r="C54" s="29">
        <v>0</v>
      </c>
    </row>
    <row r="55" spans="1:3" ht="13.5" customHeight="1" x14ac:dyDescent="0.2">
      <c r="A55" s="6"/>
      <c r="B55" s="6" t="s">
        <v>63</v>
      </c>
      <c r="C55" s="39">
        <f>SUM(C54)</f>
        <v>0</v>
      </c>
    </row>
    <row r="56" spans="1:3" ht="13.5" customHeight="1" x14ac:dyDescent="0.2">
      <c r="A56" s="89" t="s">
        <v>64</v>
      </c>
      <c r="B56" s="89"/>
      <c r="C56" s="89"/>
    </row>
    <row r="57" spans="1:3" ht="13.5" customHeight="1" x14ac:dyDescent="0.2">
      <c r="A57" s="17" t="s">
        <v>65</v>
      </c>
      <c r="B57" s="5" t="s">
        <v>66</v>
      </c>
      <c r="C57" s="40">
        <v>0</v>
      </c>
    </row>
    <row r="58" spans="1:3" ht="36" customHeight="1" x14ac:dyDescent="0.2">
      <c r="A58" s="6" t="s">
        <v>67</v>
      </c>
      <c r="B58" s="50" t="s">
        <v>159</v>
      </c>
      <c r="C58" s="29">
        <v>1280</v>
      </c>
    </row>
    <row r="59" spans="1:3" ht="32" x14ac:dyDescent="0.2">
      <c r="A59" s="6" t="s">
        <v>68</v>
      </c>
      <c r="B59" s="6" t="s">
        <v>69</v>
      </c>
      <c r="C59" s="29">
        <v>0</v>
      </c>
    </row>
    <row r="60" spans="1:3" ht="13.5" customHeight="1" x14ac:dyDescent="0.2">
      <c r="A60" s="6" t="s">
        <v>70</v>
      </c>
      <c r="B60" s="6" t="s">
        <v>71</v>
      </c>
      <c r="C60" s="29">
        <v>0</v>
      </c>
    </row>
    <row r="61" spans="1:3" ht="13.5" customHeight="1" x14ac:dyDescent="0.2">
      <c r="A61" s="6" t="s">
        <v>72</v>
      </c>
      <c r="B61" s="6"/>
      <c r="C61" s="29">
        <v>55</v>
      </c>
    </row>
    <row r="62" spans="1:3" ht="13.5" customHeight="1" x14ac:dyDescent="0.2">
      <c r="A62" s="7" t="s">
        <v>73</v>
      </c>
      <c r="B62" s="56" t="s">
        <v>158</v>
      </c>
      <c r="C62" s="19">
        <v>0</v>
      </c>
    </row>
    <row r="63" spans="1:3" ht="13.5" customHeight="1" x14ac:dyDescent="0.2">
      <c r="A63" s="7"/>
      <c r="B63" s="7" t="s">
        <v>75</v>
      </c>
      <c r="C63" s="39">
        <f>SUM(C57:C62)</f>
        <v>1335</v>
      </c>
    </row>
    <row r="64" spans="1:3" ht="13.5" customHeight="1" x14ac:dyDescent="0.2">
      <c r="A64" s="89" t="s">
        <v>76</v>
      </c>
      <c r="B64" s="89"/>
      <c r="C64" s="89"/>
    </row>
    <row r="65" spans="1:8" ht="13.5" customHeight="1" x14ac:dyDescent="0.2">
      <c r="A65" s="7" t="s">
        <v>21</v>
      </c>
      <c r="B65" s="7"/>
      <c r="C65" s="19">
        <v>0</v>
      </c>
    </row>
    <row r="66" spans="1:8" ht="13.5" customHeight="1" x14ac:dyDescent="0.2">
      <c r="A66" s="7" t="s">
        <v>77</v>
      </c>
      <c r="B66" s="7"/>
      <c r="C66" s="19">
        <v>0</v>
      </c>
    </row>
    <row r="67" spans="1:8" ht="13.5" customHeight="1" x14ac:dyDescent="0.2">
      <c r="A67" s="7"/>
      <c r="B67" s="7" t="s">
        <v>78</v>
      </c>
      <c r="C67" s="19">
        <f>SUM(C65:C66)</f>
        <v>0</v>
      </c>
    </row>
    <row r="68" spans="1:8" ht="13.5" customHeight="1" x14ac:dyDescent="0.2">
      <c r="A68" s="6"/>
      <c r="B68" s="34" t="s">
        <v>79</v>
      </c>
      <c r="C68" s="41">
        <f>C38+C45+C49+C52+C55+C63</f>
        <v>1551</v>
      </c>
      <c r="H68" s="42"/>
    </row>
    <row r="69" spans="1:8" ht="13.5" customHeight="1" x14ac:dyDescent="0.2">
      <c r="A69" s="24"/>
      <c r="B69" s="24"/>
    </row>
    <row r="70" spans="1:8" ht="13.5" customHeight="1" x14ac:dyDescent="0.2">
      <c r="A70" s="24"/>
      <c r="B70" s="24"/>
    </row>
    <row r="71" spans="1:8" ht="13.5" customHeight="1" x14ac:dyDescent="0.2">
      <c r="A71" s="74" t="s">
        <v>150</v>
      </c>
      <c r="B71" s="74"/>
      <c r="C71" s="74"/>
      <c r="D71" s="74"/>
      <c r="E71" s="74"/>
    </row>
    <row r="72" spans="1:8" ht="13.5" customHeight="1" x14ac:dyDescent="0.2">
      <c r="A72" s="90" t="s">
        <v>80</v>
      </c>
      <c r="B72" s="90"/>
      <c r="C72" s="90" t="s">
        <v>8</v>
      </c>
      <c r="D72" s="90"/>
      <c r="E72" s="44" t="s">
        <v>9</v>
      </c>
    </row>
    <row r="73" spans="1:8" ht="24" customHeight="1" x14ac:dyDescent="0.2">
      <c r="A73" s="64" t="s">
        <v>155</v>
      </c>
      <c r="B73" s="64"/>
      <c r="C73" s="61"/>
      <c r="D73" s="61"/>
      <c r="E73" s="47">
        <f>'July 2026- September 2026'!E102</f>
        <v>-0.27999999999883585</v>
      </c>
    </row>
    <row r="74" spans="1:8" ht="32" customHeight="1" x14ac:dyDescent="0.2">
      <c r="A74" s="82" t="s">
        <v>64</v>
      </c>
      <c r="B74" s="82"/>
      <c r="C74" s="77"/>
      <c r="D74" s="77"/>
      <c r="E74" s="45">
        <v>0</v>
      </c>
    </row>
    <row r="75" spans="1:8" ht="178" customHeight="1" x14ac:dyDescent="0.2">
      <c r="A75" s="82"/>
      <c r="B75" s="82"/>
      <c r="C75" s="83" t="s">
        <v>184</v>
      </c>
      <c r="D75" s="84"/>
      <c r="E75" s="45">
        <v>435.9</v>
      </c>
    </row>
    <row r="76" spans="1:8" ht="103" customHeight="1" x14ac:dyDescent="0.2">
      <c r="A76" s="82"/>
      <c r="B76" s="82"/>
      <c r="C76" s="87" t="s">
        <v>182</v>
      </c>
      <c r="D76" s="88"/>
      <c r="E76" s="45">
        <v>622.73</v>
      </c>
    </row>
    <row r="77" spans="1:8" ht="23" customHeight="1" x14ac:dyDescent="0.2">
      <c r="A77" s="82"/>
      <c r="B77" s="82"/>
      <c r="C77" s="83" t="s">
        <v>181</v>
      </c>
      <c r="D77" s="85"/>
      <c r="E77" s="45">
        <v>53.9</v>
      </c>
    </row>
    <row r="78" spans="1:8" ht="20" customHeight="1" x14ac:dyDescent="0.2">
      <c r="A78" s="82" t="s">
        <v>92</v>
      </c>
      <c r="B78" s="82"/>
      <c r="C78" s="86"/>
      <c r="D78" s="86"/>
      <c r="E78" s="46">
        <f>C68</f>
        <v>1551</v>
      </c>
    </row>
    <row r="79" spans="1:8" ht="22" customHeight="1" x14ac:dyDescent="0.2">
      <c r="C79" s="81" t="s">
        <v>93</v>
      </c>
      <c r="D79" s="81"/>
      <c r="E79" s="47">
        <f>(E18+E73)-SUM(E74:E78)</f>
        <v>166.91000000000076</v>
      </c>
    </row>
    <row r="80" spans="1:8" ht="27" customHeight="1" x14ac:dyDescent="0.2"/>
    <row r="81" spans="1:5" ht="13.5" customHeight="1" x14ac:dyDescent="0.2">
      <c r="A81" s="74" t="s">
        <v>151</v>
      </c>
      <c r="B81" s="74"/>
      <c r="C81" s="74"/>
      <c r="D81" s="74"/>
      <c r="E81" s="74"/>
    </row>
    <row r="82" spans="1:5" ht="13.5" customHeight="1" x14ac:dyDescent="0.2">
      <c r="A82" s="74" t="s">
        <v>80</v>
      </c>
      <c r="B82" s="74"/>
      <c r="C82" s="74" t="s">
        <v>8</v>
      </c>
      <c r="D82" s="74"/>
      <c r="E82" s="43" t="s">
        <v>9</v>
      </c>
    </row>
    <row r="83" spans="1:5" ht="23" customHeight="1" x14ac:dyDescent="0.2">
      <c r="A83" s="64" t="s">
        <v>144</v>
      </c>
      <c r="B83" s="64"/>
      <c r="C83" s="62"/>
      <c r="D83" s="62"/>
      <c r="E83" s="47">
        <f>E79</f>
        <v>166.91000000000076</v>
      </c>
    </row>
    <row r="84" spans="1:5" ht="30" customHeight="1" x14ac:dyDescent="0.2">
      <c r="A84" s="65" t="s">
        <v>64</v>
      </c>
      <c r="B84" s="66"/>
      <c r="C84" s="75"/>
      <c r="D84" s="76"/>
      <c r="E84" s="48">
        <v>0</v>
      </c>
    </row>
    <row r="85" spans="1:5" ht="39" customHeight="1" x14ac:dyDescent="0.2">
      <c r="A85" s="67"/>
      <c r="B85" s="68"/>
      <c r="C85" s="77" t="s">
        <v>157</v>
      </c>
      <c r="D85" s="77"/>
      <c r="E85" s="48">
        <v>0</v>
      </c>
    </row>
    <row r="86" spans="1:5" ht="22" customHeight="1" x14ac:dyDescent="0.2">
      <c r="A86" s="67"/>
      <c r="B86" s="68"/>
      <c r="C86" s="78"/>
      <c r="D86" s="79"/>
      <c r="E86" s="48">
        <v>0</v>
      </c>
    </row>
    <row r="87" spans="1:5" ht="24" customHeight="1" x14ac:dyDescent="0.2">
      <c r="A87" s="67"/>
      <c r="B87" s="68"/>
      <c r="C87" s="75"/>
      <c r="D87" s="80"/>
      <c r="E87" s="48">
        <v>0</v>
      </c>
    </row>
    <row r="88" spans="1:5" ht="24" customHeight="1" x14ac:dyDescent="0.2">
      <c r="A88" s="69"/>
      <c r="B88" s="70"/>
      <c r="C88" s="78"/>
      <c r="D88" s="79"/>
      <c r="E88" s="55">
        <v>0</v>
      </c>
    </row>
    <row r="89" spans="1:5" ht="19.5" customHeight="1" x14ac:dyDescent="0.2">
      <c r="A89" s="61" t="s">
        <v>92</v>
      </c>
      <c r="B89" s="61"/>
      <c r="C89" s="62"/>
      <c r="D89" s="62"/>
      <c r="E89" s="45">
        <f>C68</f>
        <v>1551</v>
      </c>
    </row>
    <row r="90" spans="1:5" ht="13.5" customHeight="1" x14ac:dyDescent="0.2">
      <c r="C90" s="63" t="s">
        <v>93</v>
      </c>
      <c r="D90" s="63"/>
      <c r="E90" s="47">
        <f>(E24+E83)-SUM(E84:E89)</f>
        <v>1100.9100000000008</v>
      </c>
    </row>
    <row r="91" spans="1:5" ht="13.5" customHeight="1" x14ac:dyDescent="0.2">
      <c r="A91" s="49"/>
      <c r="B91" s="49"/>
      <c r="C91" s="49"/>
      <c r="D91" s="49"/>
      <c r="E91" s="49"/>
    </row>
    <row r="92" spans="1:5" ht="13.5" customHeight="1" x14ac:dyDescent="0.2">
      <c r="A92" s="49"/>
      <c r="B92" s="49"/>
      <c r="C92" s="49"/>
      <c r="D92" s="49"/>
      <c r="E92" s="49"/>
    </row>
    <row r="93" spans="1:5" ht="22" customHeight="1" x14ac:dyDescent="0.2">
      <c r="A93" s="73" t="s">
        <v>154</v>
      </c>
      <c r="B93" s="73"/>
      <c r="C93" s="73"/>
      <c r="D93" s="73"/>
      <c r="E93" s="73"/>
    </row>
    <row r="94" spans="1:5" ht="13.5" customHeight="1" x14ac:dyDescent="0.2">
      <c r="A94" s="74" t="s">
        <v>80</v>
      </c>
      <c r="B94" s="74"/>
      <c r="C94" s="74" t="s">
        <v>8</v>
      </c>
      <c r="D94" s="74"/>
      <c r="E94" s="43" t="s">
        <v>9</v>
      </c>
    </row>
    <row r="95" spans="1:5" ht="25" customHeight="1" x14ac:dyDescent="0.2">
      <c r="A95" s="64" t="s">
        <v>152</v>
      </c>
      <c r="B95" s="64"/>
      <c r="C95" s="62"/>
      <c r="D95" s="62"/>
      <c r="E95" s="47">
        <f>E90</f>
        <v>1100.9100000000008</v>
      </c>
    </row>
    <row r="96" spans="1:5" ht="23" customHeight="1" x14ac:dyDescent="0.2">
      <c r="A96" s="65" t="s">
        <v>64</v>
      </c>
      <c r="B96" s="66"/>
      <c r="C96" s="71"/>
      <c r="D96" s="72"/>
      <c r="E96" s="45">
        <v>0</v>
      </c>
    </row>
    <row r="97" spans="1:5" ht="43" customHeight="1" x14ac:dyDescent="0.2">
      <c r="A97" s="67"/>
      <c r="B97" s="68"/>
      <c r="C97" s="71" t="s">
        <v>157</v>
      </c>
      <c r="D97" s="72"/>
      <c r="E97" s="45">
        <v>0</v>
      </c>
    </row>
    <row r="98" spans="1:5" ht="20" customHeight="1" x14ac:dyDescent="0.2">
      <c r="A98" s="69"/>
      <c r="B98" s="70"/>
      <c r="C98" s="71"/>
      <c r="D98" s="72"/>
      <c r="E98" s="45">
        <v>0</v>
      </c>
    </row>
    <row r="99" spans="1:5" ht="22" customHeight="1" x14ac:dyDescent="0.2">
      <c r="A99" s="61" t="s">
        <v>92</v>
      </c>
      <c r="B99" s="61"/>
      <c r="C99" s="62"/>
      <c r="D99" s="62"/>
      <c r="E99" s="45">
        <f>C68</f>
        <v>1551</v>
      </c>
    </row>
    <row r="100" spans="1:5" ht="19" customHeight="1" x14ac:dyDescent="0.2">
      <c r="C100" s="63" t="s">
        <v>93</v>
      </c>
      <c r="D100" s="63"/>
      <c r="E100" s="47">
        <f>(E30+E95)-SUM(E96:E99)</f>
        <v>2034.9100000000008</v>
      </c>
    </row>
    <row r="101" spans="1:5" ht="13.5" customHeight="1" x14ac:dyDescent="0.2">
      <c r="A101" s="24"/>
      <c r="B101" s="24"/>
    </row>
    <row r="102" spans="1:5" ht="13.5" customHeight="1" x14ac:dyDescent="0.2">
      <c r="A102" s="24"/>
      <c r="B102" s="24"/>
    </row>
    <row r="103" spans="1:5" ht="13.5" customHeight="1" x14ac:dyDescent="0.2">
      <c r="A103" s="24"/>
      <c r="B103" s="24"/>
    </row>
    <row r="104" spans="1:5" ht="13.5" customHeight="1" x14ac:dyDescent="0.2">
      <c r="A104" s="24"/>
      <c r="B104" s="24"/>
    </row>
    <row r="105" spans="1:5" ht="13.5" customHeight="1" x14ac:dyDescent="0.2">
      <c r="A105" s="24"/>
      <c r="B105" s="24"/>
    </row>
    <row r="106" spans="1:5" ht="13.5" customHeight="1" x14ac:dyDescent="0.2">
      <c r="A106" s="24"/>
      <c r="B106" s="24"/>
    </row>
    <row r="107" spans="1:5" ht="13.5" customHeight="1" x14ac:dyDescent="0.2">
      <c r="A107" s="24"/>
      <c r="B107" s="24"/>
    </row>
    <row r="108" spans="1:5" ht="13.5" customHeight="1" x14ac:dyDescent="0.2">
      <c r="A108" s="24"/>
      <c r="B108" s="24"/>
    </row>
    <row r="109" spans="1:5" ht="13.5" customHeight="1" x14ac:dyDescent="0.2">
      <c r="A109" s="24"/>
      <c r="B109" s="24"/>
    </row>
    <row r="110" spans="1:5" ht="13.5" customHeight="1" x14ac:dyDescent="0.2">
      <c r="A110" s="24"/>
      <c r="B110" s="24"/>
    </row>
    <row r="111" spans="1:5" ht="13.5" customHeight="1" x14ac:dyDescent="0.2">
      <c r="A111" s="24"/>
      <c r="B111" s="24"/>
    </row>
    <row r="112" spans="1:5" ht="13.5" customHeight="1" x14ac:dyDescent="0.2">
      <c r="A112" s="24"/>
      <c r="B112" s="24"/>
    </row>
    <row r="113" spans="1:2" ht="13.5" customHeight="1" x14ac:dyDescent="0.2">
      <c r="A113" s="24"/>
      <c r="B113" s="24"/>
    </row>
    <row r="114" spans="1:2" ht="13.5" customHeight="1" x14ac:dyDescent="0.2">
      <c r="A114" s="24"/>
      <c r="B114" s="24"/>
    </row>
    <row r="115" spans="1:2" ht="13.5" customHeight="1" x14ac:dyDescent="0.2">
      <c r="A115" s="24"/>
      <c r="B115" s="24"/>
    </row>
    <row r="116" spans="1:2" ht="13.5" customHeight="1" x14ac:dyDescent="0.2">
      <c r="A116" s="24"/>
      <c r="B116" s="24"/>
    </row>
    <row r="117" spans="1:2" ht="13.5" customHeight="1" x14ac:dyDescent="0.2">
      <c r="A117" s="24"/>
      <c r="B117" s="24"/>
    </row>
    <row r="118" spans="1:2" ht="13.5" customHeight="1" x14ac:dyDescent="0.2">
      <c r="A118" s="24"/>
      <c r="B118" s="24"/>
    </row>
    <row r="119" spans="1:2" ht="13.5" customHeight="1" x14ac:dyDescent="0.2">
      <c r="A119" s="24"/>
      <c r="B119" s="24"/>
    </row>
    <row r="120" spans="1:2" ht="13.5" customHeight="1" x14ac:dyDescent="0.2">
      <c r="A120" s="24"/>
      <c r="B120" s="24"/>
    </row>
    <row r="121" spans="1:2" ht="13.5" customHeight="1" x14ac:dyDescent="0.2">
      <c r="A121" s="24"/>
      <c r="B121" s="24"/>
    </row>
    <row r="122" spans="1:2" ht="13.5" customHeight="1" x14ac:dyDescent="0.2">
      <c r="A122" s="24"/>
      <c r="B122" s="24"/>
    </row>
    <row r="123" spans="1:2" ht="13.5" customHeight="1" x14ac:dyDescent="0.2">
      <c r="A123" s="24"/>
      <c r="B123" s="24"/>
    </row>
    <row r="124" spans="1:2" ht="13.5" customHeight="1" x14ac:dyDescent="0.2">
      <c r="A124" s="24"/>
      <c r="B124" s="24"/>
    </row>
    <row r="125" spans="1:2" ht="13.5" customHeight="1" x14ac:dyDescent="0.2">
      <c r="A125" s="24"/>
      <c r="B125" s="24"/>
    </row>
    <row r="126" spans="1:2" ht="13.5" customHeight="1" x14ac:dyDescent="0.2">
      <c r="A126" s="24"/>
      <c r="B126" s="24"/>
    </row>
    <row r="127" spans="1:2" ht="13.5" customHeight="1" x14ac:dyDescent="0.2">
      <c r="A127" s="24"/>
      <c r="B127" s="24"/>
    </row>
    <row r="128" spans="1:2" ht="13.5" customHeight="1" x14ac:dyDescent="0.2">
      <c r="A128" s="24"/>
      <c r="B128" s="24"/>
    </row>
    <row r="129" spans="1:2" ht="13.5" customHeight="1" x14ac:dyDescent="0.2">
      <c r="A129" s="24"/>
      <c r="B129" s="24"/>
    </row>
    <row r="130" spans="1:2" ht="13.5" customHeight="1" x14ac:dyDescent="0.2">
      <c r="A130" s="24"/>
      <c r="B130" s="24"/>
    </row>
    <row r="131" spans="1:2" ht="13.5" customHeight="1" x14ac:dyDescent="0.2">
      <c r="A131" s="24"/>
      <c r="B131" s="24"/>
    </row>
    <row r="132" spans="1:2" ht="13.5" customHeight="1" x14ac:dyDescent="0.2">
      <c r="A132" s="24"/>
      <c r="B132" s="24"/>
    </row>
    <row r="133" spans="1:2" ht="13.5" customHeight="1" x14ac:dyDescent="0.2">
      <c r="A133" s="24"/>
      <c r="B133" s="24"/>
    </row>
    <row r="134" spans="1:2" ht="13.5" customHeight="1" x14ac:dyDescent="0.2">
      <c r="A134" s="24"/>
      <c r="B134" s="24"/>
    </row>
    <row r="135" spans="1:2" ht="13.5" customHeight="1" x14ac:dyDescent="0.2">
      <c r="A135" s="24"/>
      <c r="B135" s="24"/>
    </row>
    <row r="136" spans="1:2" ht="13.5" customHeight="1" x14ac:dyDescent="0.2">
      <c r="A136" s="24"/>
      <c r="B136" s="24"/>
    </row>
    <row r="137" spans="1:2" ht="13.5" customHeight="1" x14ac:dyDescent="0.2">
      <c r="A137" s="24"/>
      <c r="B137" s="24"/>
    </row>
    <row r="138" spans="1:2" ht="13.5" customHeight="1" x14ac:dyDescent="0.2">
      <c r="A138" s="24"/>
      <c r="B138" s="24"/>
    </row>
    <row r="139" spans="1:2" ht="13.5" customHeight="1" x14ac:dyDescent="0.2">
      <c r="A139" s="24"/>
      <c r="B139" s="24"/>
    </row>
    <row r="140" spans="1:2" ht="13.5" customHeight="1" x14ac:dyDescent="0.2">
      <c r="A140" s="24"/>
      <c r="B140" s="24"/>
    </row>
    <row r="141" spans="1:2" ht="13.5" customHeight="1" x14ac:dyDescent="0.2">
      <c r="A141" s="24"/>
      <c r="B141" s="24"/>
    </row>
    <row r="142" spans="1:2" ht="13.5" customHeight="1" x14ac:dyDescent="0.2">
      <c r="A142" s="24"/>
      <c r="B142" s="24"/>
    </row>
    <row r="143" spans="1:2" ht="13.5" customHeight="1" x14ac:dyDescent="0.2">
      <c r="A143" s="24"/>
      <c r="B143" s="24"/>
    </row>
    <row r="144" spans="1:2" ht="13.5" customHeight="1" x14ac:dyDescent="0.2">
      <c r="A144" s="24"/>
      <c r="B144" s="24"/>
    </row>
    <row r="145" spans="1:2" ht="13.5" customHeight="1" x14ac:dyDescent="0.2">
      <c r="A145" s="24"/>
      <c r="B145" s="24"/>
    </row>
    <row r="146" spans="1:2" ht="13.5" customHeight="1" x14ac:dyDescent="0.2">
      <c r="A146" s="24"/>
      <c r="B146" s="24"/>
    </row>
    <row r="147" spans="1:2" ht="13.5" customHeight="1" x14ac:dyDescent="0.2">
      <c r="A147" s="24"/>
      <c r="B147" s="24"/>
    </row>
    <row r="148" spans="1:2" ht="13.5" customHeight="1" x14ac:dyDescent="0.2">
      <c r="A148" s="24"/>
      <c r="B148" s="24"/>
    </row>
    <row r="149" spans="1:2" ht="13.5" customHeight="1" x14ac:dyDescent="0.2">
      <c r="A149" s="24"/>
      <c r="B149" s="24"/>
    </row>
    <row r="150" spans="1:2" ht="13.5" customHeight="1" x14ac:dyDescent="0.2">
      <c r="A150" s="24"/>
      <c r="B150" s="24"/>
    </row>
    <row r="151" spans="1:2" ht="13.5" customHeight="1" x14ac:dyDescent="0.2">
      <c r="A151" s="24"/>
      <c r="B151" s="24"/>
    </row>
    <row r="152" spans="1:2" ht="13.5" customHeight="1" x14ac:dyDescent="0.2">
      <c r="A152" s="24"/>
      <c r="B152" s="24"/>
    </row>
    <row r="153" spans="1:2" ht="13.5" customHeight="1" x14ac:dyDescent="0.2">
      <c r="A153" s="24"/>
      <c r="B153" s="24"/>
    </row>
    <row r="154" spans="1:2" ht="13.5" customHeight="1" x14ac:dyDescent="0.2">
      <c r="A154" s="24"/>
      <c r="B154" s="24"/>
    </row>
    <row r="155" spans="1:2" ht="13.5" customHeight="1" x14ac:dyDescent="0.2">
      <c r="A155" s="24"/>
      <c r="B155" s="24"/>
    </row>
    <row r="156" spans="1:2" ht="13.5" customHeight="1" x14ac:dyDescent="0.2">
      <c r="A156" s="24"/>
      <c r="B156" s="24"/>
    </row>
    <row r="157" spans="1:2" ht="13.5" customHeight="1" x14ac:dyDescent="0.2">
      <c r="A157" s="24"/>
      <c r="B157" s="24"/>
    </row>
    <row r="158" spans="1:2" ht="13.5" customHeight="1" x14ac:dyDescent="0.2">
      <c r="A158" s="24"/>
      <c r="B158" s="24"/>
    </row>
    <row r="159" spans="1:2" ht="13.5" customHeight="1" x14ac:dyDescent="0.2">
      <c r="A159" s="24"/>
      <c r="B159" s="24"/>
    </row>
    <row r="160" spans="1:2" ht="13.5" customHeight="1" x14ac:dyDescent="0.2">
      <c r="A160" s="24"/>
      <c r="B160" s="24"/>
    </row>
    <row r="161" spans="1:2" ht="13.5" customHeight="1" x14ac:dyDescent="0.2">
      <c r="A161" s="24"/>
      <c r="B161" s="24"/>
    </row>
    <row r="162" spans="1:2" ht="13.5" customHeight="1" x14ac:dyDescent="0.2">
      <c r="A162" s="24"/>
      <c r="B162" s="24"/>
    </row>
    <row r="163" spans="1:2" ht="13.5" customHeight="1" x14ac:dyDescent="0.2">
      <c r="A163" s="24"/>
      <c r="B163" s="24"/>
    </row>
    <row r="164" spans="1:2" ht="13.5" customHeight="1" x14ac:dyDescent="0.2">
      <c r="A164" s="24"/>
      <c r="B164" s="24"/>
    </row>
    <row r="165" spans="1:2" ht="13.5" customHeight="1" x14ac:dyDescent="0.2">
      <c r="A165" s="24"/>
      <c r="B165" s="24"/>
    </row>
    <row r="166" spans="1:2" ht="13.5" customHeight="1" x14ac:dyDescent="0.2">
      <c r="A166" s="24"/>
      <c r="B166" s="24"/>
    </row>
    <row r="167" spans="1:2" ht="13.5" customHeight="1" x14ac:dyDescent="0.2">
      <c r="A167" s="24"/>
      <c r="B167" s="24"/>
    </row>
    <row r="168" spans="1:2" ht="13.5" customHeight="1" x14ac:dyDescent="0.2">
      <c r="A168" s="24"/>
      <c r="B168" s="24"/>
    </row>
    <row r="169" spans="1:2" ht="13.5" customHeight="1" x14ac:dyDescent="0.2">
      <c r="A169" s="24"/>
      <c r="B169" s="24"/>
    </row>
    <row r="170" spans="1:2" ht="13.5" customHeight="1" x14ac:dyDescent="0.2">
      <c r="A170" s="24"/>
      <c r="B170" s="24"/>
    </row>
    <row r="171" spans="1:2" ht="13.5" customHeight="1" x14ac:dyDescent="0.2">
      <c r="A171" s="24"/>
      <c r="B171" s="24"/>
    </row>
    <row r="172" spans="1:2" ht="13.5" customHeight="1" x14ac:dyDescent="0.2">
      <c r="A172" s="24"/>
      <c r="B172" s="24"/>
    </row>
    <row r="173" spans="1:2" ht="13.5" customHeight="1" x14ac:dyDescent="0.2">
      <c r="A173" s="24"/>
      <c r="B173" s="24"/>
    </row>
    <row r="174" spans="1:2" ht="13.5" customHeight="1" x14ac:dyDescent="0.2">
      <c r="A174" s="24"/>
      <c r="B174" s="24"/>
    </row>
    <row r="175" spans="1:2" ht="13.5" customHeight="1" x14ac:dyDescent="0.2">
      <c r="A175" s="24"/>
      <c r="B175" s="24"/>
    </row>
    <row r="176" spans="1:2" ht="13.5" customHeight="1" x14ac:dyDescent="0.2">
      <c r="A176" s="24"/>
      <c r="B176" s="24"/>
    </row>
    <row r="177" spans="1:2" ht="13.5" customHeight="1" x14ac:dyDescent="0.2">
      <c r="A177" s="24"/>
      <c r="B177" s="24"/>
    </row>
    <row r="178" spans="1:2" ht="13.5" customHeight="1" x14ac:dyDescent="0.2">
      <c r="A178" s="24"/>
      <c r="B178" s="24"/>
    </row>
    <row r="179" spans="1:2" ht="13.5" customHeight="1" x14ac:dyDescent="0.2">
      <c r="A179" s="24"/>
      <c r="B179" s="24"/>
    </row>
    <row r="180" spans="1:2" ht="13.5" customHeight="1" x14ac:dyDescent="0.2">
      <c r="A180" s="24"/>
      <c r="B180" s="24"/>
    </row>
    <row r="181" spans="1:2" ht="13.5" customHeight="1" x14ac:dyDescent="0.2">
      <c r="A181" s="24"/>
      <c r="B181" s="24"/>
    </row>
    <row r="182" spans="1:2" ht="13.5" customHeight="1" x14ac:dyDescent="0.2">
      <c r="A182" s="24"/>
      <c r="B182" s="24"/>
    </row>
    <row r="183" spans="1:2" ht="13.5" customHeight="1" x14ac:dyDescent="0.2">
      <c r="A183" s="24"/>
      <c r="B183" s="24"/>
    </row>
    <row r="184" spans="1:2" ht="13.5" customHeight="1" x14ac:dyDescent="0.2">
      <c r="A184" s="24"/>
      <c r="B184" s="24"/>
    </row>
    <row r="185" spans="1:2" ht="13.5" customHeight="1" x14ac:dyDescent="0.2">
      <c r="A185" s="24"/>
      <c r="B185" s="24"/>
    </row>
    <row r="186" spans="1:2" ht="13.5" customHeight="1" x14ac:dyDescent="0.2">
      <c r="A186" s="24"/>
      <c r="B186" s="24"/>
    </row>
    <row r="187" spans="1:2" ht="13.5" customHeight="1" x14ac:dyDescent="0.2">
      <c r="A187" s="24"/>
      <c r="B187" s="24"/>
    </row>
    <row r="188" spans="1:2" ht="13.5" customHeight="1" x14ac:dyDescent="0.2">
      <c r="A188" s="24"/>
      <c r="B188" s="24"/>
    </row>
    <row r="189" spans="1:2" ht="13.5" customHeight="1" x14ac:dyDescent="0.2">
      <c r="A189" s="24"/>
      <c r="B189" s="24"/>
    </row>
    <row r="190" spans="1:2" ht="13.5" customHeight="1" x14ac:dyDescent="0.2">
      <c r="A190" s="24"/>
      <c r="B190" s="24"/>
    </row>
    <row r="191" spans="1:2" ht="13.5" customHeight="1" x14ac:dyDescent="0.2">
      <c r="A191" s="24"/>
      <c r="B191" s="24"/>
    </row>
    <row r="192" spans="1:2" ht="13.5" customHeight="1" x14ac:dyDescent="0.2">
      <c r="A192" s="24"/>
      <c r="B192" s="24"/>
    </row>
    <row r="193" spans="1:2" ht="13.5" customHeight="1" x14ac:dyDescent="0.2">
      <c r="A193" s="24"/>
      <c r="B193" s="24"/>
    </row>
    <row r="194" spans="1:2" ht="13.5" customHeight="1" x14ac:dyDescent="0.2">
      <c r="A194" s="24"/>
      <c r="B194" s="24"/>
    </row>
    <row r="195" spans="1:2" ht="13.5" customHeight="1" x14ac:dyDescent="0.2">
      <c r="A195" s="24"/>
      <c r="B195" s="24"/>
    </row>
    <row r="196" spans="1:2" ht="13.5" customHeight="1" x14ac:dyDescent="0.2">
      <c r="A196" s="24"/>
      <c r="B196" s="24"/>
    </row>
    <row r="197" spans="1:2" ht="13.5" customHeight="1" x14ac:dyDescent="0.2">
      <c r="A197" s="24"/>
      <c r="B197" s="24"/>
    </row>
    <row r="198" spans="1:2" ht="13.5" customHeight="1" x14ac:dyDescent="0.2">
      <c r="A198" s="24"/>
      <c r="B198" s="24"/>
    </row>
    <row r="199" spans="1:2" ht="13.5" customHeight="1" x14ac:dyDescent="0.2">
      <c r="A199" s="24"/>
      <c r="B199" s="24"/>
    </row>
    <row r="200" spans="1:2" ht="13.5" customHeight="1" x14ac:dyDescent="0.2">
      <c r="A200" s="24"/>
      <c r="B200" s="24"/>
    </row>
    <row r="201" spans="1:2" ht="13.5" customHeight="1" x14ac:dyDescent="0.2">
      <c r="A201" s="24"/>
      <c r="B201" s="24"/>
    </row>
    <row r="202" spans="1:2" ht="13.5" customHeight="1" x14ac:dyDescent="0.2">
      <c r="A202" s="24"/>
      <c r="B202" s="24"/>
    </row>
    <row r="203" spans="1:2" ht="13.5" customHeight="1" x14ac:dyDescent="0.2">
      <c r="A203" s="24"/>
      <c r="B203" s="24"/>
    </row>
    <row r="204" spans="1:2" ht="13.5" customHeight="1" x14ac:dyDescent="0.2">
      <c r="A204" s="24"/>
      <c r="B204" s="24"/>
    </row>
    <row r="205" spans="1:2" ht="13.5" customHeight="1" x14ac:dyDescent="0.2">
      <c r="A205" s="24"/>
      <c r="B205" s="24"/>
    </row>
    <row r="206" spans="1:2" ht="13.5" customHeight="1" x14ac:dyDescent="0.2">
      <c r="A206" s="24"/>
      <c r="B206" s="24"/>
    </row>
    <row r="207" spans="1:2" ht="13.5" customHeight="1" x14ac:dyDescent="0.2">
      <c r="A207" s="24"/>
      <c r="B207" s="24"/>
    </row>
    <row r="208" spans="1:2" ht="13.5" customHeight="1" x14ac:dyDescent="0.2">
      <c r="A208" s="24"/>
      <c r="B208" s="24"/>
    </row>
    <row r="209" spans="1:2" ht="13.5" customHeight="1" x14ac:dyDescent="0.2">
      <c r="A209" s="24"/>
      <c r="B209" s="24"/>
    </row>
    <row r="210" spans="1:2" ht="13.5" customHeight="1" x14ac:dyDescent="0.2">
      <c r="A210" s="24"/>
      <c r="B210" s="24"/>
    </row>
    <row r="211" spans="1:2" ht="13.5" customHeight="1" x14ac:dyDescent="0.2">
      <c r="A211" s="24"/>
      <c r="B211" s="24"/>
    </row>
    <row r="212" spans="1:2" ht="13.5" customHeight="1" x14ac:dyDescent="0.2">
      <c r="A212" s="24"/>
      <c r="B212" s="24"/>
    </row>
    <row r="213" spans="1:2" ht="13.5" customHeight="1" x14ac:dyDescent="0.2">
      <c r="A213" s="24"/>
      <c r="B213" s="24"/>
    </row>
    <row r="214" spans="1:2" ht="13.5" customHeight="1" x14ac:dyDescent="0.2">
      <c r="A214" s="24"/>
      <c r="B214" s="24"/>
    </row>
    <row r="215" spans="1:2" ht="13.5" customHeight="1" x14ac:dyDescent="0.2">
      <c r="A215" s="24"/>
      <c r="B215" s="24"/>
    </row>
    <row r="216" spans="1:2" ht="13.5" customHeight="1" x14ac:dyDescent="0.2">
      <c r="A216" s="24"/>
      <c r="B216" s="24"/>
    </row>
    <row r="217" spans="1:2" ht="13.5" customHeight="1" x14ac:dyDescent="0.2">
      <c r="A217" s="24"/>
      <c r="B217" s="24"/>
    </row>
    <row r="218" spans="1:2" ht="13.5" customHeight="1" x14ac:dyDescent="0.2">
      <c r="A218" s="24"/>
      <c r="B218" s="24"/>
    </row>
    <row r="219" spans="1:2" ht="13.5" customHeight="1" x14ac:dyDescent="0.2">
      <c r="A219" s="24"/>
      <c r="B219" s="24"/>
    </row>
    <row r="220" spans="1:2" ht="13.5" customHeight="1" x14ac:dyDescent="0.2">
      <c r="A220" s="24"/>
      <c r="B220" s="24"/>
    </row>
    <row r="221" spans="1:2" ht="13.5" customHeight="1" x14ac:dyDescent="0.2">
      <c r="A221" s="24"/>
      <c r="B221" s="24"/>
    </row>
    <row r="222" spans="1:2" ht="13.5" customHeight="1" x14ac:dyDescent="0.2">
      <c r="A222" s="24"/>
      <c r="B222" s="24"/>
    </row>
    <row r="223" spans="1:2" ht="13.5" customHeight="1" x14ac:dyDescent="0.2">
      <c r="A223" s="24"/>
      <c r="B223" s="24"/>
    </row>
    <row r="224" spans="1:2" ht="13.5" customHeight="1" x14ac:dyDescent="0.2">
      <c r="A224" s="24"/>
      <c r="B224" s="24"/>
    </row>
    <row r="225" spans="1:2" ht="13.5" customHeight="1" x14ac:dyDescent="0.2">
      <c r="A225" s="24"/>
      <c r="B225" s="24"/>
    </row>
    <row r="226" spans="1:2" ht="13.5" customHeight="1" x14ac:dyDescent="0.2">
      <c r="A226" s="24"/>
      <c r="B226" s="24"/>
    </row>
    <row r="227" spans="1:2" ht="13.5" customHeight="1" x14ac:dyDescent="0.2">
      <c r="A227" s="24"/>
      <c r="B227" s="24"/>
    </row>
    <row r="228" spans="1:2" ht="13.5" customHeight="1" x14ac:dyDescent="0.2">
      <c r="A228" s="24"/>
      <c r="B228" s="24"/>
    </row>
    <row r="229" spans="1:2" ht="13.5" customHeight="1" x14ac:dyDescent="0.2">
      <c r="A229" s="24"/>
      <c r="B229" s="24"/>
    </row>
    <row r="230" spans="1:2" ht="13.5" customHeight="1" x14ac:dyDescent="0.2">
      <c r="A230" s="24"/>
      <c r="B230" s="24"/>
    </row>
    <row r="231" spans="1:2" ht="13.5" customHeight="1" x14ac:dyDescent="0.2">
      <c r="A231" s="24"/>
      <c r="B231" s="24"/>
    </row>
    <row r="232" spans="1:2" ht="13.5" customHeight="1" x14ac:dyDescent="0.2">
      <c r="A232" s="24"/>
      <c r="B232" s="24"/>
    </row>
    <row r="233" spans="1:2" ht="13.5" customHeight="1" x14ac:dyDescent="0.2">
      <c r="A233" s="24"/>
      <c r="B233" s="24"/>
    </row>
    <row r="234" spans="1:2" ht="13.5" customHeight="1" x14ac:dyDescent="0.2">
      <c r="A234" s="24"/>
      <c r="B234" s="24"/>
    </row>
    <row r="235" spans="1:2" ht="13.5" customHeight="1" x14ac:dyDescent="0.2">
      <c r="A235" s="24"/>
      <c r="B235" s="24"/>
    </row>
    <row r="236" spans="1:2" ht="13.5" customHeight="1" x14ac:dyDescent="0.2">
      <c r="A236" s="24"/>
      <c r="B236" s="24"/>
    </row>
    <row r="237" spans="1:2" ht="13.5" customHeight="1" x14ac:dyDescent="0.2">
      <c r="A237" s="24"/>
      <c r="B237" s="24"/>
    </row>
    <row r="238" spans="1:2" ht="13.5" customHeight="1" x14ac:dyDescent="0.2">
      <c r="A238" s="24"/>
      <c r="B238" s="24"/>
    </row>
    <row r="239" spans="1:2" ht="13.5" customHeight="1" x14ac:dyDescent="0.2">
      <c r="A239" s="24"/>
      <c r="B239" s="24"/>
    </row>
    <row r="240" spans="1:2" ht="13.5" customHeight="1" x14ac:dyDescent="0.2">
      <c r="A240" s="24"/>
      <c r="B240" s="24"/>
    </row>
    <row r="241" spans="1:2" ht="13.5" customHeight="1" x14ac:dyDescent="0.2">
      <c r="A241" s="24"/>
      <c r="B241" s="24"/>
    </row>
    <row r="242" spans="1:2" ht="13.5" customHeight="1" x14ac:dyDescent="0.2">
      <c r="A242" s="24"/>
      <c r="B242" s="24"/>
    </row>
    <row r="243" spans="1:2" ht="13.5" customHeight="1" x14ac:dyDescent="0.2">
      <c r="A243" s="24"/>
      <c r="B243" s="24"/>
    </row>
    <row r="244" spans="1:2" ht="13.5" customHeight="1" x14ac:dyDescent="0.2">
      <c r="A244" s="24"/>
      <c r="B244" s="24"/>
    </row>
    <row r="245" spans="1:2" ht="13.5" customHeight="1" x14ac:dyDescent="0.2">
      <c r="A245" s="24"/>
      <c r="B245" s="24"/>
    </row>
    <row r="246" spans="1:2" ht="13.5" customHeight="1" x14ac:dyDescent="0.2">
      <c r="A246" s="24"/>
      <c r="B246" s="24"/>
    </row>
    <row r="247" spans="1:2" ht="13.5" customHeight="1" x14ac:dyDescent="0.2">
      <c r="A247" s="24"/>
      <c r="B247" s="24"/>
    </row>
    <row r="248" spans="1:2" ht="13.5" customHeight="1" x14ac:dyDescent="0.2">
      <c r="A248" s="24"/>
      <c r="B248" s="24"/>
    </row>
    <row r="249" spans="1:2" ht="13.5" customHeight="1" x14ac:dyDescent="0.2">
      <c r="A249" s="24"/>
      <c r="B249" s="24"/>
    </row>
    <row r="250" spans="1:2" ht="13.5" customHeight="1" x14ac:dyDescent="0.2">
      <c r="A250" s="24"/>
      <c r="B250" s="24"/>
    </row>
    <row r="251" spans="1:2" ht="13.5" customHeight="1" x14ac:dyDescent="0.2">
      <c r="A251" s="24"/>
      <c r="B251" s="24"/>
    </row>
    <row r="252" spans="1:2" ht="13.5" customHeight="1" x14ac:dyDescent="0.2">
      <c r="A252" s="24"/>
      <c r="B252" s="24"/>
    </row>
    <row r="253" spans="1:2" ht="13.5" customHeight="1" x14ac:dyDescent="0.2">
      <c r="A253" s="24"/>
      <c r="B253" s="24"/>
    </row>
    <row r="254" spans="1:2" ht="13.5" customHeight="1" x14ac:dyDescent="0.2">
      <c r="A254" s="24"/>
      <c r="B254" s="24"/>
    </row>
    <row r="255" spans="1:2" ht="13.5" customHeight="1" x14ac:dyDescent="0.2">
      <c r="A255" s="24"/>
      <c r="B255" s="24"/>
    </row>
    <row r="256" spans="1:2" ht="13.5" customHeight="1" x14ac:dyDescent="0.2">
      <c r="A256" s="24"/>
      <c r="B256" s="24"/>
    </row>
    <row r="257" spans="1:2" ht="13.5" customHeight="1" x14ac:dyDescent="0.2">
      <c r="A257" s="24"/>
      <c r="B257" s="24"/>
    </row>
    <row r="258" spans="1:2" ht="13.5" customHeight="1" x14ac:dyDescent="0.2">
      <c r="A258" s="24"/>
      <c r="B258" s="24"/>
    </row>
    <row r="259" spans="1:2" ht="13.5" customHeight="1" x14ac:dyDescent="0.2">
      <c r="A259" s="24"/>
      <c r="B259" s="24"/>
    </row>
    <row r="260" spans="1:2" ht="13.5" customHeight="1" x14ac:dyDescent="0.2">
      <c r="A260" s="24"/>
      <c r="B260" s="24"/>
    </row>
    <row r="261" spans="1:2" ht="13.5" customHeight="1" x14ac:dyDescent="0.2">
      <c r="A261" s="24"/>
      <c r="B261" s="24"/>
    </row>
    <row r="262" spans="1:2" ht="13.5" customHeight="1" x14ac:dyDescent="0.2">
      <c r="A262" s="24"/>
      <c r="B262" s="24"/>
    </row>
    <row r="263" spans="1:2" ht="13.5" customHeight="1" x14ac:dyDescent="0.2">
      <c r="A263" s="24"/>
      <c r="B263" s="24"/>
    </row>
    <row r="264" spans="1:2" ht="13.5" customHeight="1" x14ac:dyDescent="0.2">
      <c r="A264" s="24"/>
      <c r="B264" s="24"/>
    </row>
    <row r="265" spans="1:2" ht="13.5" customHeight="1" x14ac:dyDescent="0.2">
      <c r="A265" s="24"/>
      <c r="B265" s="24"/>
    </row>
    <row r="266" spans="1:2" ht="13.5" customHeight="1" x14ac:dyDescent="0.2">
      <c r="A266" s="24"/>
      <c r="B266" s="24"/>
    </row>
    <row r="267" spans="1:2" ht="13.5" customHeight="1" x14ac:dyDescent="0.2">
      <c r="A267" s="24"/>
      <c r="B267" s="24"/>
    </row>
    <row r="268" spans="1:2" ht="13.5" customHeight="1" x14ac:dyDescent="0.2">
      <c r="A268" s="24"/>
      <c r="B268" s="24"/>
    </row>
    <row r="269" spans="1:2" ht="13.5" customHeight="1" x14ac:dyDescent="0.2">
      <c r="A269" s="24"/>
      <c r="B269" s="24"/>
    </row>
    <row r="270" spans="1:2" ht="13.5" customHeight="1" x14ac:dyDescent="0.2">
      <c r="A270" s="24"/>
      <c r="B270" s="24"/>
    </row>
    <row r="271" spans="1:2" ht="13.5" customHeight="1" x14ac:dyDescent="0.2">
      <c r="A271" s="24"/>
      <c r="B271" s="24"/>
    </row>
    <row r="272" spans="1:2" ht="13.5" customHeight="1" x14ac:dyDescent="0.2">
      <c r="A272" s="24"/>
      <c r="B272" s="24"/>
    </row>
    <row r="273" spans="1:2" ht="13.5" customHeight="1" x14ac:dyDescent="0.2">
      <c r="A273" s="24"/>
      <c r="B273" s="24"/>
    </row>
    <row r="274" spans="1:2" ht="13.5" customHeight="1" x14ac:dyDescent="0.2">
      <c r="A274" s="24"/>
      <c r="B274" s="24"/>
    </row>
    <row r="275" spans="1:2" ht="13.5" customHeight="1" x14ac:dyDescent="0.2">
      <c r="A275" s="24"/>
      <c r="B275" s="24"/>
    </row>
    <row r="276" spans="1:2" ht="13.5" customHeight="1" x14ac:dyDescent="0.2">
      <c r="A276" s="24"/>
      <c r="B276" s="24"/>
    </row>
    <row r="277" spans="1:2" ht="13.5" customHeight="1" x14ac:dyDescent="0.2">
      <c r="A277" s="24"/>
      <c r="B277" s="24"/>
    </row>
    <row r="278" spans="1:2" ht="13.5" customHeight="1" x14ac:dyDescent="0.2">
      <c r="A278" s="24"/>
      <c r="B278" s="24"/>
    </row>
    <row r="279" spans="1:2" ht="13.5" customHeight="1" x14ac:dyDescent="0.2">
      <c r="A279" s="24"/>
      <c r="B279" s="24"/>
    </row>
    <row r="280" spans="1:2" ht="13.5" customHeight="1" x14ac:dyDescent="0.2">
      <c r="A280" s="24"/>
      <c r="B280" s="24"/>
    </row>
    <row r="281" spans="1:2" ht="13.5" customHeight="1" x14ac:dyDescent="0.2">
      <c r="A281" s="24"/>
      <c r="B281" s="24"/>
    </row>
    <row r="282" spans="1:2" ht="13.5" customHeight="1" x14ac:dyDescent="0.2">
      <c r="A282" s="24"/>
      <c r="B282" s="24"/>
    </row>
    <row r="283" spans="1:2" ht="13.5" customHeight="1" x14ac:dyDescent="0.2">
      <c r="A283" s="24"/>
      <c r="B283" s="24"/>
    </row>
    <row r="284" spans="1:2" ht="13.5" customHeight="1" x14ac:dyDescent="0.2">
      <c r="A284" s="24"/>
      <c r="B284" s="24"/>
    </row>
    <row r="285" spans="1:2" ht="13.5" customHeight="1" x14ac:dyDescent="0.2">
      <c r="A285" s="24"/>
      <c r="B285" s="24"/>
    </row>
    <row r="286" spans="1:2" ht="13.5" customHeight="1" x14ac:dyDescent="0.2">
      <c r="A286" s="24"/>
      <c r="B286" s="24"/>
    </row>
    <row r="287" spans="1:2" ht="13.5" customHeight="1" x14ac:dyDescent="0.2">
      <c r="A287" s="24"/>
      <c r="B287" s="24"/>
    </row>
    <row r="288" spans="1:2" ht="13.5" customHeight="1" x14ac:dyDescent="0.2">
      <c r="A288" s="24"/>
      <c r="B288" s="24"/>
    </row>
    <row r="289" spans="1:2" ht="13.5" customHeight="1" x14ac:dyDescent="0.2">
      <c r="A289" s="24"/>
      <c r="B289" s="24"/>
    </row>
    <row r="290" spans="1:2" ht="13.5" customHeight="1" x14ac:dyDescent="0.2">
      <c r="A290" s="24"/>
      <c r="B290" s="24"/>
    </row>
    <row r="291" spans="1:2" ht="13.5" customHeight="1" x14ac:dyDescent="0.2">
      <c r="A291" s="24"/>
      <c r="B291" s="24"/>
    </row>
    <row r="292" spans="1:2" ht="13.5" customHeight="1" x14ac:dyDescent="0.2">
      <c r="A292" s="24"/>
      <c r="B292" s="24"/>
    </row>
    <row r="293" spans="1:2" ht="13.5" customHeight="1" x14ac:dyDescent="0.2">
      <c r="A293" s="24"/>
      <c r="B293" s="24"/>
    </row>
    <row r="294" spans="1:2" ht="13.5" customHeight="1" x14ac:dyDescent="0.2">
      <c r="A294" s="24"/>
      <c r="B294" s="24"/>
    </row>
    <row r="295" spans="1:2" ht="13.5" customHeight="1" x14ac:dyDescent="0.2">
      <c r="A295" s="24"/>
      <c r="B295" s="24"/>
    </row>
    <row r="296" spans="1:2" ht="13.5" customHeight="1" x14ac:dyDescent="0.2">
      <c r="A296" s="24"/>
      <c r="B296" s="24"/>
    </row>
    <row r="297" spans="1:2" ht="13.5" customHeight="1" x14ac:dyDescent="0.2">
      <c r="A297" s="24"/>
      <c r="B297" s="24"/>
    </row>
    <row r="298" spans="1:2" ht="13.5" customHeight="1" x14ac:dyDescent="0.2">
      <c r="A298" s="24"/>
      <c r="B298" s="24"/>
    </row>
    <row r="299" spans="1:2" ht="13.5" customHeight="1" x14ac:dyDescent="0.2">
      <c r="A299" s="24"/>
      <c r="B299" s="24"/>
    </row>
    <row r="300" spans="1:2" ht="13.5" customHeight="1" x14ac:dyDescent="0.2">
      <c r="A300" s="24"/>
      <c r="B300" s="24"/>
    </row>
    <row r="301" spans="1:2" ht="13.5" customHeight="1" x14ac:dyDescent="0.2">
      <c r="A301" s="24"/>
      <c r="B301" s="24"/>
    </row>
    <row r="302" spans="1:2" ht="13.5" customHeight="1" x14ac:dyDescent="0.2">
      <c r="A302" s="24"/>
      <c r="B302" s="24"/>
    </row>
    <row r="303" spans="1:2" ht="13.5" customHeight="1" x14ac:dyDescent="0.2">
      <c r="A303" s="24"/>
      <c r="B303" s="24"/>
    </row>
    <row r="304" spans="1:2" ht="13.5" customHeight="1" x14ac:dyDescent="0.2">
      <c r="A304" s="24"/>
      <c r="B304" s="24"/>
    </row>
    <row r="305" spans="1:2" ht="13.5" customHeight="1" x14ac:dyDescent="0.2">
      <c r="A305" s="24"/>
      <c r="B305" s="24"/>
    </row>
    <row r="306" spans="1:2" ht="13.5" customHeight="1" x14ac:dyDescent="0.2">
      <c r="A306" s="24"/>
      <c r="B306" s="24"/>
    </row>
    <row r="307" spans="1:2" ht="13.5" customHeight="1" x14ac:dyDescent="0.2">
      <c r="A307" s="24"/>
      <c r="B307" s="24"/>
    </row>
    <row r="308" spans="1:2" ht="13.5" customHeight="1" x14ac:dyDescent="0.2">
      <c r="A308" s="24"/>
      <c r="B308" s="24"/>
    </row>
    <row r="309" spans="1:2" ht="13.5" customHeight="1" x14ac:dyDescent="0.2">
      <c r="A309" s="24"/>
      <c r="B309" s="24"/>
    </row>
    <row r="310" spans="1:2" ht="13.5" customHeight="1" x14ac:dyDescent="0.2">
      <c r="A310" s="24"/>
      <c r="B310" s="24"/>
    </row>
    <row r="311" spans="1:2" ht="13.5" customHeight="1" x14ac:dyDescent="0.2">
      <c r="A311" s="24"/>
      <c r="B311" s="24"/>
    </row>
    <row r="312" spans="1:2" ht="13.5" customHeight="1" x14ac:dyDescent="0.2">
      <c r="A312" s="24"/>
      <c r="B312" s="24"/>
    </row>
    <row r="313" spans="1:2" ht="13.5" customHeight="1" x14ac:dyDescent="0.2">
      <c r="A313" s="24"/>
      <c r="B313" s="24"/>
    </row>
    <row r="314" spans="1:2" ht="13.5" customHeight="1" x14ac:dyDescent="0.2">
      <c r="A314" s="24"/>
      <c r="B314" s="24"/>
    </row>
    <row r="315" spans="1:2" ht="13.5" customHeight="1" x14ac:dyDescent="0.2">
      <c r="A315" s="24"/>
      <c r="B315" s="24"/>
    </row>
    <row r="316" spans="1:2" ht="13.5" customHeight="1" x14ac:dyDescent="0.2">
      <c r="A316" s="24"/>
      <c r="B316" s="24"/>
    </row>
    <row r="317" spans="1:2" ht="13.5" customHeight="1" x14ac:dyDescent="0.2">
      <c r="A317" s="24"/>
      <c r="B317" s="24"/>
    </row>
    <row r="318" spans="1:2" ht="13.5" customHeight="1" x14ac:dyDescent="0.2">
      <c r="A318" s="24"/>
      <c r="B318" s="24"/>
    </row>
    <row r="319" spans="1:2" ht="13.5" customHeight="1" x14ac:dyDescent="0.2">
      <c r="A319" s="24"/>
      <c r="B319" s="24"/>
    </row>
    <row r="320" spans="1:2" ht="13.5" customHeight="1" x14ac:dyDescent="0.2">
      <c r="A320" s="24"/>
      <c r="B320" s="24"/>
    </row>
    <row r="321" spans="1:2" ht="13.5" customHeight="1" x14ac:dyDescent="0.2">
      <c r="A321" s="24"/>
      <c r="B321" s="24"/>
    </row>
    <row r="322" spans="1:2" ht="13.5" customHeight="1" x14ac:dyDescent="0.2">
      <c r="A322" s="24"/>
      <c r="B322" s="24"/>
    </row>
    <row r="323" spans="1:2" ht="13.5" customHeight="1" x14ac:dyDescent="0.2">
      <c r="A323" s="24"/>
      <c r="B323" s="24"/>
    </row>
    <row r="324" spans="1:2" ht="13.5" customHeight="1" x14ac:dyDescent="0.2">
      <c r="A324" s="24"/>
      <c r="B324" s="24"/>
    </row>
    <row r="325" spans="1:2" ht="13.5" customHeight="1" x14ac:dyDescent="0.2">
      <c r="A325" s="24"/>
      <c r="B325" s="24"/>
    </row>
    <row r="326" spans="1:2" ht="13.5" customHeight="1" x14ac:dyDescent="0.2">
      <c r="A326" s="24"/>
      <c r="B326" s="24"/>
    </row>
    <row r="327" spans="1:2" ht="13.5" customHeight="1" x14ac:dyDescent="0.2">
      <c r="A327" s="24"/>
      <c r="B327" s="24"/>
    </row>
    <row r="328" spans="1:2" ht="13.5" customHeight="1" x14ac:dyDescent="0.2">
      <c r="A328" s="24"/>
      <c r="B328" s="24"/>
    </row>
    <row r="329" spans="1:2" ht="13.5" customHeight="1" x14ac:dyDescent="0.2">
      <c r="A329" s="24"/>
      <c r="B329" s="24"/>
    </row>
    <row r="330" spans="1:2" ht="13.5" customHeight="1" x14ac:dyDescent="0.2">
      <c r="A330" s="24"/>
      <c r="B330" s="24"/>
    </row>
    <row r="331" spans="1:2" ht="13.5" customHeight="1" x14ac:dyDescent="0.2">
      <c r="A331" s="24"/>
      <c r="B331" s="24"/>
    </row>
    <row r="332" spans="1:2" ht="13.5" customHeight="1" x14ac:dyDescent="0.2">
      <c r="A332" s="24"/>
      <c r="B332" s="24"/>
    </row>
    <row r="333" spans="1:2" ht="13.5" customHeight="1" x14ac:dyDescent="0.2">
      <c r="A333" s="24"/>
      <c r="B333" s="24"/>
    </row>
    <row r="334" spans="1:2" ht="13.5" customHeight="1" x14ac:dyDescent="0.2">
      <c r="A334" s="24"/>
      <c r="B334" s="24"/>
    </row>
    <row r="335" spans="1:2" ht="13.5" customHeight="1" x14ac:dyDescent="0.2">
      <c r="A335" s="24"/>
      <c r="B335" s="24"/>
    </row>
    <row r="336" spans="1:2" ht="13.5" customHeight="1" x14ac:dyDescent="0.2">
      <c r="A336" s="24"/>
      <c r="B336" s="24"/>
    </row>
    <row r="337" spans="1:2" ht="13.5" customHeight="1" x14ac:dyDescent="0.2">
      <c r="A337" s="24"/>
      <c r="B337" s="24"/>
    </row>
    <row r="338" spans="1:2" ht="13.5" customHeight="1" x14ac:dyDescent="0.2">
      <c r="A338" s="24"/>
      <c r="B338" s="24"/>
    </row>
    <row r="339" spans="1:2" ht="13.5" customHeight="1" x14ac:dyDescent="0.2">
      <c r="A339" s="24"/>
      <c r="B339" s="24"/>
    </row>
    <row r="340" spans="1:2" ht="13.5" customHeight="1" x14ac:dyDescent="0.2">
      <c r="A340" s="24"/>
      <c r="B340" s="24"/>
    </row>
    <row r="341" spans="1:2" ht="13.5" customHeight="1" x14ac:dyDescent="0.2">
      <c r="A341" s="24"/>
      <c r="B341" s="24"/>
    </row>
    <row r="342" spans="1:2" ht="13.5" customHeight="1" x14ac:dyDescent="0.2">
      <c r="A342" s="24"/>
      <c r="B342" s="24"/>
    </row>
    <row r="343" spans="1:2" ht="13.5" customHeight="1" x14ac:dyDescent="0.2">
      <c r="A343" s="24"/>
      <c r="B343" s="24"/>
    </row>
    <row r="344" spans="1:2" ht="13.5" customHeight="1" x14ac:dyDescent="0.2">
      <c r="A344" s="24"/>
      <c r="B344" s="24"/>
    </row>
    <row r="345" spans="1:2" ht="13.5" customHeight="1" x14ac:dyDescent="0.2">
      <c r="A345" s="24"/>
      <c r="B345" s="24"/>
    </row>
    <row r="346" spans="1:2" ht="13.5" customHeight="1" x14ac:dyDescent="0.2">
      <c r="A346" s="24"/>
      <c r="B346" s="24"/>
    </row>
    <row r="347" spans="1:2" ht="13.5" customHeight="1" x14ac:dyDescent="0.2">
      <c r="A347" s="24"/>
      <c r="B347" s="24"/>
    </row>
    <row r="348" spans="1:2" ht="13.5" customHeight="1" x14ac:dyDescent="0.2">
      <c r="A348" s="24"/>
      <c r="B348" s="24"/>
    </row>
    <row r="349" spans="1:2" ht="13.5" customHeight="1" x14ac:dyDescent="0.2">
      <c r="A349" s="24"/>
      <c r="B349" s="24"/>
    </row>
    <row r="350" spans="1:2" ht="13.5" customHeight="1" x14ac:dyDescent="0.2">
      <c r="A350" s="24"/>
      <c r="B350" s="24"/>
    </row>
    <row r="351" spans="1:2" ht="13.5" customHeight="1" x14ac:dyDescent="0.2">
      <c r="A351" s="24"/>
      <c r="B351" s="24"/>
    </row>
    <row r="352" spans="1:2" ht="13.5" customHeight="1" x14ac:dyDescent="0.2">
      <c r="A352" s="24"/>
      <c r="B352" s="24"/>
    </row>
    <row r="353" spans="1:2" ht="13.5" customHeight="1" x14ac:dyDescent="0.2">
      <c r="A353" s="24"/>
      <c r="B353" s="24"/>
    </row>
    <row r="354" spans="1:2" ht="13.5" customHeight="1" x14ac:dyDescent="0.2">
      <c r="A354" s="24"/>
      <c r="B354" s="24"/>
    </row>
    <row r="355" spans="1:2" ht="13.5" customHeight="1" x14ac:dyDescent="0.2">
      <c r="A355" s="24"/>
      <c r="B355" s="24"/>
    </row>
    <row r="356" spans="1:2" ht="13.5" customHeight="1" x14ac:dyDescent="0.2">
      <c r="A356" s="24"/>
      <c r="B356" s="24"/>
    </row>
    <row r="357" spans="1:2" ht="13.5" customHeight="1" x14ac:dyDescent="0.2">
      <c r="A357" s="24"/>
      <c r="B357" s="24"/>
    </row>
    <row r="358" spans="1:2" ht="13.5" customHeight="1" x14ac:dyDescent="0.2">
      <c r="A358" s="24"/>
      <c r="B358" s="24"/>
    </row>
    <row r="359" spans="1:2" ht="13.5" customHeight="1" x14ac:dyDescent="0.2">
      <c r="A359" s="24"/>
      <c r="B359" s="24"/>
    </row>
    <row r="360" spans="1:2" ht="13.5" customHeight="1" x14ac:dyDescent="0.2">
      <c r="A360" s="24"/>
      <c r="B360" s="24"/>
    </row>
    <row r="361" spans="1:2" ht="13.5" customHeight="1" x14ac:dyDescent="0.2">
      <c r="A361" s="24"/>
      <c r="B361" s="24"/>
    </row>
    <row r="362" spans="1:2" ht="13.5" customHeight="1" x14ac:dyDescent="0.2">
      <c r="A362" s="24"/>
      <c r="B362" s="24"/>
    </row>
    <row r="363" spans="1:2" ht="13.5" customHeight="1" x14ac:dyDescent="0.2">
      <c r="A363" s="24"/>
      <c r="B363" s="24"/>
    </row>
    <row r="364" spans="1:2" ht="13.5" customHeight="1" x14ac:dyDescent="0.2">
      <c r="A364" s="24"/>
      <c r="B364" s="24"/>
    </row>
    <row r="365" spans="1:2" ht="13.5" customHeight="1" x14ac:dyDescent="0.2">
      <c r="A365" s="24"/>
      <c r="B365" s="24"/>
    </row>
    <row r="366" spans="1:2" ht="13.5" customHeight="1" x14ac:dyDescent="0.2">
      <c r="A366" s="24"/>
      <c r="B366" s="24"/>
    </row>
    <row r="367" spans="1:2" ht="13.5" customHeight="1" x14ac:dyDescent="0.2">
      <c r="A367" s="24"/>
      <c r="B367" s="24"/>
    </row>
    <row r="368" spans="1:2" ht="13.5" customHeight="1" x14ac:dyDescent="0.2">
      <c r="A368" s="24"/>
      <c r="B368" s="24"/>
    </row>
    <row r="369" spans="1:2" ht="13.5" customHeight="1" x14ac:dyDescent="0.2">
      <c r="A369" s="24"/>
      <c r="B369" s="24"/>
    </row>
    <row r="370" spans="1:2" ht="13.5" customHeight="1" x14ac:dyDescent="0.2">
      <c r="A370" s="24"/>
      <c r="B370" s="24"/>
    </row>
    <row r="371" spans="1:2" ht="13.5" customHeight="1" x14ac:dyDescent="0.2">
      <c r="A371" s="24"/>
      <c r="B371" s="24"/>
    </row>
    <row r="372" spans="1:2" ht="13.5" customHeight="1" x14ac:dyDescent="0.2">
      <c r="A372" s="24"/>
      <c r="B372" s="24"/>
    </row>
    <row r="373" spans="1:2" ht="13.5" customHeight="1" x14ac:dyDescent="0.2">
      <c r="A373" s="24"/>
      <c r="B373" s="24"/>
    </row>
    <row r="374" spans="1:2" ht="13.5" customHeight="1" x14ac:dyDescent="0.2">
      <c r="A374" s="24"/>
      <c r="B374" s="24"/>
    </row>
    <row r="375" spans="1:2" ht="13.5" customHeight="1" x14ac:dyDescent="0.2">
      <c r="A375" s="24"/>
      <c r="B375" s="24"/>
    </row>
    <row r="376" spans="1:2" ht="13.5" customHeight="1" x14ac:dyDescent="0.2">
      <c r="A376" s="24"/>
      <c r="B376" s="24"/>
    </row>
    <row r="377" spans="1:2" ht="13.5" customHeight="1" x14ac:dyDescent="0.2">
      <c r="A377" s="24"/>
      <c r="B377" s="24"/>
    </row>
    <row r="378" spans="1:2" ht="13.5" customHeight="1" x14ac:dyDescent="0.2">
      <c r="A378" s="24"/>
      <c r="B378" s="24"/>
    </row>
    <row r="379" spans="1:2" ht="13.5" customHeight="1" x14ac:dyDescent="0.2">
      <c r="A379" s="24"/>
      <c r="B379" s="24"/>
    </row>
    <row r="380" spans="1:2" ht="13.5" customHeight="1" x14ac:dyDescent="0.2">
      <c r="A380" s="24"/>
      <c r="B380" s="24"/>
    </row>
    <row r="381" spans="1:2" ht="13.5" customHeight="1" x14ac:dyDescent="0.2">
      <c r="A381" s="24"/>
      <c r="B381" s="24"/>
    </row>
    <row r="382" spans="1:2" ht="13.5" customHeight="1" x14ac:dyDescent="0.2">
      <c r="A382" s="24"/>
      <c r="B382" s="24"/>
    </row>
    <row r="383" spans="1:2" ht="13.5" customHeight="1" x14ac:dyDescent="0.2">
      <c r="A383" s="24"/>
      <c r="B383" s="24"/>
    </row>
    <row r="384" spans="1:2" ht="13.5" customHeight="1" x14ac:dyDescent="0.2">
      <c r="A384" s="24"/>
      <c r="B384" s="24"/>
    </row>
    <row r="385" spans="1:2" ht="13.5" customHeight="1" x14ac:dyDescent="0.2">
      <c r="A385" s="24"/>
      <c r="B385" s="24"/>
    </row>
    <row r="386" spans="1:2" ht="13.5" customHeight="1" x14ac:dyDescent="0.2">
      <c r="A386" s="24"/>
      <c r="B386" s="24"/>
    </row>
    <row r="387" spans="1:2" ht="13.5" customHeight="1" x14ac:dyDescent="0.2">
      <c r="A387" s="24"/>
      <c r="B387" s="24"/>
    </row>
    <row r="388" spans="1:2" ht="13.5" customHeight="1" x14ac:dyDescent="0.2">
      <c r="A388" s="24"/>
      <c r="B388" s="24"/>
    </row>
    <row r="389" spans="1:2" ht="13.5" customHeight="1" x14ac:dyDescent="0.2">
      <c r="A389" s="24"/>
      <c r="B389" s="24"/>
    </row>
    <row r="390" spans="1:2" ht="13.5" customHeight="1" x14ac:dyDescent="0.2">
      <c r="A390" s="24"/>
      <c r="B390" s="24"/>
    </row>
    <row r="391" spans="1:2" ht="13.5" customHeight="1" x14ac:dyDescent="0.2">
      <c r="A391" s="24"/>
      <c r="B391" s="24"/>
    </row>
    <row r="392" spans="1:2" ht="13.5" customHeight="1" x14ac:dyDescent="0.2">
      <c r="A392" s="24"/>
      <c r="B392" s="24"/>
    </row>
    <row r="393" spans="1:2" ht="13.5" customHeight="1" x14ac:dyDescent="0.2">
      <c r="A393" s="24"/>
      <c r="B393" s="24"/>
    </row>
    <row r="394" spans="1:2" ht="13.5" customHeight="1" x14ac:dyDescent="0.2">
      <c r="A394" s="24"/>
      <c r="B394" s="24"/>
    </row>
    <row r="395" spans="1:2" ht="13.5" customHeight="1" x14ac:dyDescent="0.2">
      <c r="A395" s="24"/>
      <c r="B395" s="24"/>
    </row>
    <row r="396" spans="1:2" ht="13.5" customHeight="1" x14ac:dyDescent="0.2">
      <c r="A396" s="24"/>
      <c r="B396" s="24"/>
    </row>
    <row r="397" spans="1:2" ht="13.5" customHeight="1" x14ac:dyDescent="0.2">
      <c r="A397" s="24"/>
      <c r="B397" s="24"/>
    </row>
    <row r="398" spans="1:2" ht="13.5" customHeight="1" x14ac:dyDescent="0.2">
      <c r="A398" s="24"/>
      <c r="B398" s="24"/>
    </row>
    <row r="399" spans="1:2" ht="13.5" customHeight="1" x14ac:dyDescent="0.2">
      <c r="A399" s="24"/>
      <c r="B399" s="24"/>
    </row>
    <row r="400" spans="1:2" ht="13.5" customHeight="1" x14ac:dyDescent="0.2">
      <c r="A400" s="24"/>
      <c r="B400" s="24"/>
    </row>
    <row r="401" spans="1:2" ht="13.5" customHeight="1" x14ac:dyDescent="0.2">
      <c r="A401" s="24"/>
      <c r="B401" s="24"/>
    </row>
    <row r="402" spans="1:2" ht="13.5" customHeight="1" x14ac:dyDescent="0.2">
      <c r="A402" s="24"/>
      <c r="B402" s="24"/>
    </row>
    <row r="403" spans="1:2" ht="13.5" customHeight="1" x14ac:dyDescent="0.2">
      <c r="A403" s="24"/>
      <c r="B403" s="24"/>
    </row>
    <row r="404" spans="1:2" ht="13.5" customHeight="1" x14ac:dyDescent="0.2">
      <c r="A404" s="24"/>
      <c r="B404" s="24"/>
    </row>
    <row r="405" spans="1:2" ht="13.5" customHeight="1" x14ac:dyDescent="0.2">
      <c r="A405" s="24"/>
      <c r="B405" s="24"/>
    </row>
    <row r="406" spans="1:2" ht="13.5" customHeight="1" x14ac:dyDescent="0.2">
      <c r="A406" s="24"/>
      <c r="B406" s="24"/>
    </row>
    <row r="407" spans="1:2" ht="13.5" customHeight="1" x14ac:dyDescent="0.2">
      <c r="A407" s="24"/>
      <c r="B407" s="24"/>
    </row>
    <row r="408" spans="1:2" ht="13.5" customHeight="1" x14ac:dyDescent="0.2">
      <c r="A408" s="24"/>
      <c r="B408" s="24"/>
    </row>
    <row r="409" spans="1:2" ht="13.5" customHeight="1" x14ac:dyDescent="0.2">
      <c r="A409" s="24"/>
      <c r="B409" s="24"/>
    </row>
    <row r="410" spans="1:2" ht="13.5" customHeight="1" x14ac:dyDescent="0.2">
      <c r="A410" s="24"/>
      <c r="B410" s="24"/>
    </row>
    <row r="411" spans="1:2" ht="13.5" customHeight="1" x14ac:dyDescent="0.2">
      <c r="A411" s="24"/>
      <c r="B411" s="24"/>
    </row>
    <row r="412" spans="1:2" ht="13.5" customHeight="1" x14ac:dyDescent="0.2">
      <c r="A412" s="24"/>
      <c r="B412" s="24"/>
    </row>
    <row r="413" spans="1:2" ht="13.5" customHeight="1" x14ac:dyDescent="0.2">
      <c r="A413" s="24"/>
      <c r="B413" s="24"/>
    </row>
    <row r="414" spans="1:2" ht="13.5" customHeight="1" x14ac:dyDescent="0.2">
      <c r="A414" s="24"/>
      <c r="B414" s="24"/>
    </row>
    <row r="415" spans="1:2" ht="13.5" customHeight="1" x14ac:dyDescent="0.2">
      <c r="A415" s="24"/>
      <c r="B415" s="24"/>
    </row>
    <row r="416" spans="1:2" ht="13.5" customHeight="1" x14ac:dyDescent="0.2">
      <c r="A416" s="24"/>
      <c r="B416" s="24"/>
    </row>
    <row r="417" spans="1:2" ht="13.5" customHeight="1" x14ac:dyDescent="0.2">
      <c r="A417" s="24"/>
      <c r="B417" s="24"/>
    </row>
    <row r="418" spans="1:2" ht="13.5" customHeight="1" x14ac:dyDescent="0.2">
      <c r="A418" s="24"/>
      <c r="B418" s="24"/>
    </row>
    <row r="419" spans="1:2" ht="13.5" customHeight="1" x14ac:dyDescent="0.2">
      <c r="A419" s="24"/>
      <c r="B419" s="24"/>
    </row>
    <row r="420" spans="1:2" ht="13.5" customHeight="1" x14ac:dyDescent="0.2">
      <c r="A420" s="24"/>
      <c r="B420" s="24"/>
    </row>
    <row r="421" spans="1:2" ht="13.5" customHeight="1" x14ac:dyDescent="0.2">
      <c r="A421" s="24"/>
      <c r="B421" s="24"/>
    </row>
    <row r="422" spans="1:2" ht="13.5" customHeight="1" x14ac:dyDescent="0.2">
      <c r="A422" s="24"/>
      <c r="B422" s="24"/>
    </row>
    <row r="423" spans="1:2" ht="13.5" customHeight="1" x14ac:dyDescent="0.2">
      <c r="A423" s="24"/>
      <c r="B423" s="24"/>
    </row>
    <row r="424" spans="1:2" ht="13.5" customHeight="1" x14ac:dyDescent="0.2">
      <c r="A424" s="24"/>
      <c r="B424" s="24"/>
    </row>
    <row r="425" spans="1:2" ht="13.5" customHeight="1" x14ac:dyDescent="0.2">
      <c r="A425" s="24"/>
      <c r="B425" s="24"/>
    </row>
    <row r="426" spans="1:2" ht="13.5" customHeight="1" x14ac:dyDescent="0.2">
      <c r="A426" s="24"/>
      <c r="B426" s="24"/>
    </row>
    <row r="427" spans="1:2" ht="13.5" customHeight="1" x14ac:dyDescent="0.2">
      <c r="A427" s="24"/>
      <c r="B427" s="24"/>
    </row>
    <row r="428" spans="1:2" ht="13.5" customHeight="1" x14ac:dyDescent="0.2">
      <c r="A428" s="24"/>
      <c r="B428" s="24"/>
    </row>
    <row r="429" spans="1:2" ht="13.5" customHeight="1" x14ac:dyDescent="0.2">
      <c r="A429" s="24"/>
      <c r="B429" s="24"/>
    </row>
    <row r="430" spans="1:2" ht="13.5" customHeight="1" x14ac:dyDescent="0.2">
      <c r="A430" s="24"/>
      <c r="B430" s="24"/>
    </row>
    <row r="431" spans="1:2" ht="13.5" customHeight="1" x14ac:dyDescent="0.2">
      <c r="A431" s="24"/>
      <c r="B431" s="24"/>
    </row>
    <row r="432" spans="1:2" ht="13.5" customHeight="1" x14ac:dyDescent="0.2">
      <c r="A432" s="24"/>
      <c r="B432" s="24"/>
    </row>
    <row r="433" spans="1:2" ht="13.5" customHeight="1" x14ac:dyDescent="0.2">
      <c r="A433" s="24"/>
      <c r="B433" s="24"/>
    </row>
    <row r="434" spans="1:2" ht="13.5" customHeight="1" x14ac:dyDescent="0.2">
      <c r="A434" s="24"/>
      <c r="B434" s="24"/>
    </row>
    <row r="435" spans="1:2" ht="13.5" customHeight="1" x14ac:dyDescent="0.2">
      <c r="A435" s="24"/>
      <c r="B435" s="24"/>
    </row>
    <row r="436" spans="1:2" ht="13.5" customHeight="1" x14ac:dyDescent="0.2">
      <c r="A436" s="24"/>
      <c r="B436" s="24"/>
    </row>
    <row r="437" spans="1:2" ht="13.5" customHeight="1" x14ac:dyDescent="0.2">
      <c r="A437" s="24"/>
      <c r="B437" s="24"/>
    </row>
    <row r="438" spans="1:2" ht="13.5" customHeight="1" x14ac:dyDescent="0.2">
      <c r="A438" s="24"/>
      <c r="B438" s="24"/>
    </row>
    <row r="439" spans="1:2" ht="13.5" customHeight="1" x14ac:dyDescent="0.2">
      <c r="A439" s="24"/>
      <c r="B439" s="24"/>
    </row>
    <row r="440" spans="1:2" ht="13.5" customHeight="1" x14ac:dyDescent="0.2">
      <c r="A440" s="24"/>
      <c r="B440" s="24"/>
    </row>
    <row r="441" spans="1:2" ht="13.5" customHeight="1" x14ac:dyDescent="0.2">
      <c r="A441" s="24"/>
      <c r="B441" s="24"/>
    </row>
    <row r="442" spans="1:2" ht="13.5" customHeight="1" x14ac:dyDescent="0.2">
      <c r="A442" s="24"/>
      <c r="B442" s="24"/>
    </row>
    <row r="443" spans="1:2" ht="13.5" customHeight="1" x14ac:dyDescent="0.2">
      <c r="A443" s="24"/>
      <c r="B443" s="24"/>
    </row>
    <row r="444" spans="1:2" ht="13.5" customHeight="1" x14ac:dyDescent="0.2">
      <c r="A444" s="24"/>
      <c r="B444" s="24"/>
    </row>
    <row r="445" spans="1:2" ht="13.5" customHeight="1" x14ac:dyDescent="0.2">
      <c r="A445" s="24"/>
      <c r="B445" s="24"/>
    </row>
    <row r="446" spans="1:2" ht="13.5" customHeight="1" x14ac:dyDescent="0.2">
      <c r="A446" s="24"/>
      <c r="B446" s="24"/>
    </row>
    <row r="447" spans="1:2" ht="13.5" customHeight="1" x14ac:dyDescent="0.2">
      <c r="A447" s="24"/>
      <c r="B447" s="24"/>
    </row>
    <row r="448" spans="1:2" ht="13.5" customHeight="1" x14ac:dyDescent="0.2">
      <c r="A448" s="24"/>
      <c r="B448" s="24"/>
    </row>
    <row r="449" spans="1:2" ht="13.5" customHeight="1" x14ac:dyDescent="0.2">
      <c r="A449" s="24"/>
      <c r="B449" s="24"/>
    </row>
    <row r="450" spans="1:2" ht="13.5" customHeight="1" x14ac:dyDescent="0.2">
      <c r="A450" s="24"/>
      <c r="B450" s="24"/>
    </row>
    <row r="451" spans="1:2" ht="13.5" customHeight="1" x14ac:dyDescent="0.2">
      <c r="A451" s="24"/>
      <c r="B451" s="24"/>
    </row>
    <row r="452" spans="1:2" ht="13.5" customHeight="1" x14ac:dyDescent="0.2">
      <c r="A452" s="24"/>
      <c r="B452" s="24"/>
    </row>
    <row r="453" spans="1:2" ht="13.5" customHeight="1" x14ac:dyDescent="0.2">
      <c r="A453" s="24"/>
      <c r="B453" s="24"/>
    </row>
    <row r="454" spans="1:2" ht="13.5" customHeight="1" x14ac:dyDescent="0.2">
      <c r="A454" s="24"/>
      <c r="B454" s="24"/>
    </row>
    <row r="455" spans="1:2" ht="13.5" customHeight="1" x14ac:dyDescent="0.2">
      <c r="A455" s="24"/>
      <c r="B455" s="24"/>
    </row>
    <row r="456" spans="1:2" ht="13.5" customHeight="1" x14ac:dyDescent="0.2">
      <c r="A456" s="24"/>
      <c r="B456" s="24"/>
    </row>
    <row r="457" spans="1:2" ht="13.5" customHeight="1" x14ac:dyDescent="0.2">
      <c r="A457" s="24"/>
      <c r="B457" s="24"/>
    </row>
    <row r="458" spans="1:2" ht="13.5" customHeight="1" x14ac:dyDescent="0.2">
      <c r="A458" s="24"/>
      <c r="B458" s="24"/>
    </row>
    <row r="459" spans="1:2" ht="13.5" customHeight="1" x14ac:dyDescent="0.2">
      <c r="A459" s="24"/>
      <c r="B459" s="24"/>
    </row>
    <row r="460" spans="1:2" ht="13.5" customHeight="1" x14ac:dyDescent="0.2">
      <c r="A460" s="24"/>
      <c r="B460" s="24"/>
    </row>
    <row r="461" spans="1:2" ht="13.5" customHeight="1" x14ac:dyDescent="0.2">
      <c r="A461" s="24"/>
      <c r="B461" s="24"/>
    </row>
    <row r="462" spans="1:2" ht="13.5" customHeight="1" x14ac:dyDescent="0.2">
      <c r="A462" s="24"/>
      <c r="B462" s="24"/>
    </row>
    <row r="463" spans="1:2" ht="13.5" customHeight="1" x14ac:dyDescent="0.2">
      <c r="A463" s="24"/>
      <c r="B463" s="24"/>
    </row>
    <row r="464" spans="1:2" ht="13.5" customHeight="1" x14ac:dyDescent="0.2">
      <c r="A464" s="24"/>
      <c r="B464" s="24"/>
    </row>
    <row r="465" spans="1:2" ht="13.5" customHeight="1" x14ac:dyDescent="0.2">
      <c r="A465" s="24"/>
      <c r="B465" s="24"/>
    </row>
    <row r="466" spans="1:2" ht="13.5" customHeight="1" x14ac:dyDescent="0.2">
      <c r="A466" s="24"/>
      <c r="B466" s="24"/>
    </row>
    <row r="467" spans="1:2" ht="13.5" customHeight="1" x14ac:dyDescent="0.2">
      <c r="A467" s="24"/>
      <c r="B467" s="24"/>
    </row>
    <row r="468" spans="1:2" ht="13.5" customHeight="1" x14ac:dyDescent="0.2">
      <c r="A468" s="24"/>
      <c r="B468" s="24"/>
    </row>
    <row r="469" spans="1:2" ht="13.5" customHeight="1" x14ac:dyDescent="0.2">
      <c r="A469" s="24"/>
      <c r="B469" s="24"/>
    </row>
    <row r="470" spans="1:2" ht="13.5" customHeight="1" x14ac:dyDescent="0.2">
      <c r="A470" s="24"/>
      <c r="B470" s="24"/>
    </row>
    <row r="471" spans="1:2" ht="13.5" customHeight="1" x14ac:dyDescent="0.2">
      <c r="A471" s="24"/>
      <c r="B471" s="24"/>
    </row>
    <row r="472" spans="1:2" ht="13.5" customHeight="1" x14ac:dyDescent="0.2">
      <c r="A472" s="24"/>
      <c r="B472" s="24"/>
    </row>
    <row r="473" spans="1:2" ht="13.5" customHeight="1" x14ac:dyDescent="0.2">
      <c r="A473" s="24"/>
      <c r="B473" s="24"/>
    </row>
    <row r="474" spans="1:2" ht="13.5" customHeight="1" x14ac:dyDescent="0.2">
      <c r="A474" s="24"/>
      <c r="B474" s="24"/>
    </row>
    <row r="475" spans="1:2" ht="13.5" customHeight="1" x14ac:dyDescent="0.2">
      <c r="A475" s="24"/>
      <c r="B475" s="24"/>
    </row>
    <row r="476" spans="1:2" ht="13.5" customHeight="1" x14ac:dyDescent="0.2">
      <c r="A476" s="24"/>
      <c r="B476" s="24"/>
    </row>
    <row r="477" spans="1:2" ht="13.5" customHeight="1" x14ac:dyDescent="0.2">
      <c r="A477" s="24"/>
      <c r="B477" s="24"/>
    </row>
    <row r="478" spans="1:2" ht="13.5" customHeight="1" x14ac:dyDescent="0.2">
      <c r="A478" s="24"/>
      <c r="B478" s="24"/>
    </row>
    <row r="479" spans="1:2" ht="13.5" customHeight="1" x14ac:dyDescent="0.2">
      <c r="A479" s="24"/>
      <c r="B479" s="24"/>
    </row>
    <row r="480" spans="1:2" ht="13.5" customHeight="1" x14ac:dyDescent="0.2">
      <c r="A480" s="24"/>
      <c r="B480" s="24"/>
    </row>
    <row r="481" spans="1:2" ht="13.5" customHeight="1" x14ac:dyDescent="0.2">
      <c r="A481" s="24"/>
      <c r="B481" s="24"/>
    </row>
    <row r="482" spans="1:2" ht="13.5" customHeight="1" x14ac:dyDescent="0.2">
      <c r="A482" s="24"/>
      <c r="B482" s="24"/>
    </row>
    <row r="483" spans="1:2" ht="13.5" customHeight="1" x14ac:dyDescent="0.2">
      <c r="A483" s="24"/>
      <c r="B483" s="24"/>
    </row>
    <row r="484" spans="1:2" ht="13.5" customHeight="1" x14ac:dyDescent="0.2">
      <c r="A484" s="24"/>
      <c r="B484" s="24"/>
    </row>
    <row r="485" spans="1:2" ht="13.5" customHeight="1" x14ac:dyDescent="0.2">
      <c r="A485" s="24"/>
      <c r="B485" s="24"/>
    </row>
    <row r="486" spans="1:2" ht="13.5" customHeight="1" x14ac:dyDescent="0.2">
      <c r="A486" s="24"/>
      <c r="B486" s="24"/>
    </row>
    <row r="487" spans="1:2" ht="13.5" customHeight="1" x14ac:dyDescent="0.2">
      <c r="A487" s="24"/>
      <c r="B487" s="24"/>
    </row>
    <row r="488" spans="1:2" ht="13.5" customHeight="1" x14ac:dyDescent="0.2">
      <c r="A488" s="24"/>
      <c r="B488" s="24"/>
    </row>
    <row r="489" spans="1:2" ht="13.5" customHeight="1" x14ac:dyDescent="0.2">
      <c r="A489" s="24"/>
      <c r="B489" s="24"/>
    </row>
    <row r="490" spans="1:2" ht="13.5" customHeight="1" x14ac:dyDescent="0.2">
      <c r="A490" s="24"/>
      <c r="B490" s="24"/>
    </row>
    <row r="491" spans="1:2" ht="13.5" customHeight="1" x14ac:dyDescent="0.2">
      <c r="A491" s="24"/>
      <c r="B491" s="24"/>
    </row>
    <row r="492" spans="1:2" ht="13.5" customHeight="1" x14ac:dyDescent="0.2">
      <c r="A492" s="24"/>
      <c r="B492" s="24"/>
    </row>
    <row r="493" spans="1:2" ht="13.5" customHeight="1" x14ac:dyDescent="0.2">
      <c r="A493" s="24"/>
      <c r="B493" s="24"/>
    </row>
    <row r="494" spans="1:2" ht="13.5" customHeight="1" x14ac:dyDescent="0.2">
      <c r="A494" s="24"/>
      <c r="B494" s="24"/>
    </row>
    <row r="495" spans="1:2" ht="13.5" customHeight="1" x14ac:dyDescent="0.2">
      <c r="A495" s="24"/>
      <c r="B495" s="24"/>
    </row>
    <row r="496" spans="1:2" ht="13.5" customHeight="1" x14ac:dyDescent="0.2">
      <c r="A496" s="24"/>
      <c r="B496" s="24"/>
    </row>
    <row r="497" spans="1:2" ht="13.5" customHeight="1" x14ac:dyDescent="0.2">
      <c r="A497" s="24"/>
      <c r="B497" s="24"/>
    </row>
    <row r="498" spans="1:2" ht="13.5" customHeight="1" x14ac:dyDescent="0.2">
      <c r="A498" s="24"/>
      <c r="B498" s="24"/>
    </row>
    <row r="499" spans="1:2" ht="13.5" customHeight="1" x14ac:dyDescent="0.2">
      <c r="A499" s="24"/>
      <c r="B499" s="24"/>
    </row>
    <row r="500" spans="1:2" ht="13.5" customHeight="1" x14ac:dyDescent="0.2">
      <c r="A500" s="24"/>
      <c r="B500" s="24"/>
    </row>
    <row r="501" spans="1:2" ht="13.5" customHeight="1" x14ac:dyDescent="0.2">
      <c r="A501" s="24"/>
      <c r="B501" s="24"/>
    </row>
    <row r="502" spans="1:2" ht="13.5" customHeight="1" x14ac:dyDescent="0.2">
      <c r="A502" s="24"/>
      <c r="B502" s="24"/>
    </row>
    <row r="503" spans="1:2" ht="13.5" customHeight="1" x14ac:dyDescent="0.2">
      <c r="A503" s="24"/>
      <c r="B503" s="24"/>
    </row>
    <row r="504" spans="1:2" ht="13.5" customHeight="1" x14ac:dyDescent="0.2">
      <c r="A504" s="24"/>
      <c r="B504" s="24"/>
    </row>
    <row r="505" spans="1:2" ht="13.5" customHeight="1" x14ac:dyDescent="0.2">
      <c r="A505" s="24"/>
      <c r="B505" s="24"/>
    </row>
    <row r="506" spans="1:2" ht="13.5" customHeight="1" x14ac:dyDescent="0.2">
      <c r="A506" s="24"/>
      <c r="B506" s="24"/>
    </row>
    <row r="507" spans="1:2" ht="13.5" customHeight="1" x14ac:dyDescent="0.2">
      <c r="A507" s="24"/>
      <c r="B507" s="24"/>
    </row>
    <row r="508" spans="1:2" ht="13.5" customHeight="1" x14ac:dyDescent="0.2">
      <c r="A508" s="24"/>
      <c r="B508" s="24"/>
    </row>
    <row r="509" spans="1:2" ht="13.5" customHeight="1" x14ac:dyDescent="0.2">
      <c r="A509" s="24"/>
      <c r="B509" s="24"/>
    </row>
    <row r="510" spans="1:2" ht="13.5" customHeight="1" x14ac:dyDescent="0.2">
      <c r="A510" s="24"/>
      <c r="B510" s="24"/>
    </row>
    <row r="511" spans="1:2" ht="13.5" customHeight="1" x14ac:dyDescent="0.2">
      <c r="A511" s="24"/>
      <c r="B511" s="24"/>
    </row>
    <row r="512" spans="1:2" ht="13.5" customHeight="1" x14ac:dyDescent="0.2">
      <c r="A512" s="24"/>
      <c r="B512" s="24"/>
    </row>
    <row r="513" spans="1:2" ht="13.5" customHeight="1" x14ac:dyDescent="0.2">
      <c r="A513" s="24"/>
      <c r="B513" s="24"/>
    </row>
    <row r="514" spans="1:2" ht="13.5" customHeight="1" x14ac:dyDescent="0.2">
      <c r="A514" s="24"/>
      <c r="B514" s="24"/>
    </row>
    <row r="515" spans="1:2" ht="13.5" customHeight="1" x14ac:dyDescent="0.2">
      <c r="A515" s="24"/>
      <c r="B515" s="24"/>
    </row>
    <row r="516" spans="1:2" ht="13.5" customHeight="1" x14ac:dyDescent="0.2">
      <c r="A516" s="24"/>
      <c r="B516" s="24"/>
    </row>
    <row r="517" spans="1:2" ht="13.5" customHeight="1" x14ac:dyDescent="0.2">
      <c r="A517" s="24"/>
      <c r="B517" s="24"/>
    </row>
    <row r="518" spans="1:2" ht="13.5" customHeight="1" x14ac:dyDescent="0.2">
      <c r="A518" s="24"/>
      <c r="B518" s="24"/>
    </row>
    <row r="519" spans="1:2" ht="13.5" customHeight="1" x14ac:dyDescent="0.2">
      <c r="A519" s="24"/>
      <c r="B519" s="24"/>
    </row>
    <row r="520" spans="1:2" ht="13.5" customHeight="1" x14ac:dyDescent="0.2">
      <c r="A520" s="24"/>
      <c r="B520" s="24"/>
    </row>
    <row r="521" spans="1:2" ht="13.5" customHeight="1" x14ac:dyDescent="0.2">
      <c r="A521" s="24"/>
      <c r="B521" s="24"/>
    </row>
    <row r="522" spans="1:2" ht="13.5" customHeight="1" x14ac:dyDescent="0.2">
      <c r="A522" s="24"/>
      <c r="B522" s="24"/>
    </row>
    <row r="523" spans="1:2" ht="13.5" customHeight="1" x14ac:dyDescent="0.2">
      <c r="A523" s="24"/>
      <c r="B523" s="24"/>
    </row>
    <row r="524" spans="1:2" ht="13.5" customHeight="1" x14ac:dyDescent="0.2">
      <c r="A524" s="24"/>
      <c r="B524" s="24"/>
    </row>
    <row r="525" spans="1:2" ht="13.5" customHeight="1" x14ac:dyDescent="0.2">
      <c r="A525" s="24"/>
      <c r="B525" s="24"/>
    </row>
    <row r="526" spans="1:2" ht="13.5" customHeight="1" x14ac:dyDescent="0.2">
      <c r="A526" s="24"/>
      <c r="B526" s="24"/>
    </row>
    <row r="527" spans="1:2" ht="13.5" customHeight="1" x14ac:dyDescent="0.2">
      <c r="A527" s="24"/>
      <c r="B527" s="24"/>
    </row>
    <row r="528" spans="1:2" ht="13.5" customHeight="1" x14ac:dyDescent="0.2">
      <c r="A528" s="24"/>
      <c r="B528" s="24"/>
    </row>
    <row r="529" spans="1:2" ht="13.5" customHeight="1" x14ac:dyDescent="0.2">
      <c r="A529" s="24"/>
      <c r="B529" s="24"/>
    </row>
    <row r="530" spans="1:2" ht="13.5" customHeight="1" x14ac:dyDescent="0.2">
      <c r="A530" s="24"/>
      <c r="B530" s="24"/>
    </row>
    <row r="531" spans="1:2" ht="13.5" customHeight="1" x14ac:dyDescent="0.2">
      <c r="A531" s="24"/>
      <c r="B531" s="24"/>
    </row>
    <row r="532" spans="1:2" ht="13.5" customHeight="1" x14ac:dyDescent="0.2">
      <c r="A532" s="24"/>
      <c r="B532" s="24"/>
    </row>
    <row r="533" spans="1:2" ht="13.5" customHeight="1" x14ac:dyDescent="0.2">
      <c r="A533" s="24"/>
      <c r="B533" s="24"/>
    </row>
    <row r="534" spans="1:2" ht="13.5" customHeight="1" x14ac:dyDescent="0.2">
      <c r="A534" s="24"/>
      <c r="B534" s="24"/>
    </row>
    <row r="535" spans="1:2" ht="13.5" customHeight="1" x14ac:dyDescent="0.2">
      <c r="A535" s="24"/>
      <c r="B535" s="24"/>
    </row>
    <row r="536" spans="1:2" ht="13.5" customHeight="1" x14ac:dyDescent="0.2">
      <c r="A536" s="24"/>
      <c r="B536" s="24"/>
    </row>
    <row r="537" spans="1:2" ht="13.5" customHeight="1" x14ac:dyDescent="0.2">
      <c r="A537" s="24"/>
      <c r="B537" s="24"/>
    </row>
    <row r="538" spans="1:2" ht="13.5" customHeight="1" x14ac:dyDescent="0.2">
      <c r="A538" s="24"/>
      <c r="B538" s="24"/>
    </row>
    <row r="539" spans="1:2" ht="13.5" customHeight="1" x14ac:dyDescent="0.2">
      <c r="A539" s="24"/>
      <c r="B539" s="24"/>
    </row>
    <row r="540" spans="1:2" ht="13.5" customHeight="1" x14ac:dyDescent="0.2">
      <c r="A540" s="24"/>
      <c r="B540" s="24"/>
    </row>
    <row r="541" spans="1:2" ht="13.5" customHeight="1" x14ac:dyDescent="0.2">
      <c r="A541" s="24"/>
      <c r="B541" s="24"/>
    </row>
    <row r="542" spans="1:2" ht="13.5" customHeight="1" x14ac:dyDescent="0.2">
      <c r="A542" s="24"/>
      <c r="B542" s="24"/>
    </row>
    <row r="543" spans="1:2" ht="13.5" customHeight="1" x14ac:dyDescent="0.2">
      <c r="A543" s="24"/>
      <c r="B543" s="24"/>
    </row>
    <row r="544" spans="1:2" ht="13.5" customHeight="1" x14ac:dyDescent="0.2">
      <c r="A544" s="24"/>
      <c r="B544" s="24"/>
    </row>
    <row r="545" spans="1:2" ht="13.5" customHeight="1" x14ac:dyDescent="0.2">
      <c r="A545" s="24"/>
      <c r="B545" s="24"/>
    </row>
    <row r="546" spans="1:2" ht="13.5" customHeight="1" x14ac:dyDescent="0.2">
      <c r="A546" s="24"/>
      <c r="B546" s="24"/>
    </row>
    <row r="547" spans="1:2" ht="13.5" customHeight="1" x14ac:dyDescent="0.2">
      <c r="A547" s="24"/>
      <c r="B547" s="24"/>
    </row>
    <row r="548" spans="1:2" ht="13.5" customHeight="1" x14ac:dyDescent="0.2">
      <c r="A548" s="24"/>
      <c r="B548" s="24"/>
    </row>
    <row r="549" spans="1:2" ht="13.5" customHeight="1" x14ac:dyDescent="0.2">
      <c r="A549" s="24"/>
      <c r="B549" s="24"/>
    </row>
    <row r="550" spans="1:2" ht="13.5" customHeight="1" x14ac:dyDescent="0.2">
      <c r="A550" s="24"/>
      <c r="B550" s="24"/>
    </row>
    <row r="551" spans="1:2" ht="13.5" customHeight="1" x14ac:dyDescent="0.2">
      <c r="A551" s="24"/>
      <c r="B551" s="24"/>
    </row>
    <row r="552" spans="1:2" ht="13.5" customHeight="1" x14ac:dyDescent="0.2">
      <c r="A552" s="24"/>
      <c r="B552" s="24"/>
    </row>
    <row r="553" spans="1:2" ht="13.5" customHeight="1" x14ac:dyDescent="0.2">
      <c r="A553" s="24"/>
      <c r="B553" s="24"/>
    </row>
    <row r="554" spans="1:2" ht="13.5" customHeight="1" x14ac:dyDescent="0.2">
      <c r="A554" s="24"/>
      <c r="B554" s="24"/>
    </row>
    <row r="555" spans="1:2" ht="13.5" customHeight="1" x14ac:dyDescent="0.2">
      <c r="A555" s="24"/>
      <c r="B555" s="24"/>
    </row>
    <row r="556" spans="1:2" ht="13.5" customHeight="1" x14ac:dyDescent="0.2">
      <c r="A556" s="24"/>
      <c r="B556" s="24"/>
    </row>
    <row r="557" spans="1:2" ht="13.5" customHeight="1" x14ac:dyDescent="0.2">
      <c r="A557" s="24"/>
      <c r="B557" s="24"/>
    </row>
    <row r="558" spans="1:2" ht="13.5" customHeight="1" x14ac:dyDescent="0.2">
      <c r="A558" s="24"/>
      <c r="B558" s="24"/>
    </row>
    <row r="559" spans="1:2" ht="13.5" customHeight="1" x14ac:dyDescent="0.2">
      <c r="A559" s="24"/>
      <c r="B559" s="24"/>
    </row>
    <row r="560" spans="1:2" ht="13.5" customHeight="1" x14ac:dyDescent="0.2">
      <c r="A560" s="24"/>
      <c r="B560" s="24"/>
    </row>
    <row r="561" spans="1:2" ht="13.5" customHeight="1" x14ac:dyDescent="0.2">
      <c r="A561" s="24"/>
      <c r="B561" s="24"/>
    </row>
    <row r="562" spans="1:2" ht="13.5" customHeight="1" x14ac:dyDescent="0.2">
      <c r="A562" s="24"/>
      <c r="B562" s="24"/>
    </row>
    <row r="563" spans="1:2" ht="13.5" customHeight="1" x14ac:dyDescent="0.2">
      <c r="A563" s="24"/>
      <c r="B563" s="24"/>
    </row>
    <row r="564" spans="1:2" ht="13.5" customHeight="1" x14ac:dyDescent="0.2">
      <c r="A564" s="24"/>
      <c r="B564" s="24"/>
    </row>
    <row r="565" spans="1:2" ht="13.5" customHeight="1" x14ac:dyDescent="0.2">
      <c r="A565" s="24"/>
      <c r="B565" s="24"/>
    </row>
    <row r="566" spans="1:2" ht="13.5" customHeight="1" x14ac:dyDescent="0.2">
      <c r="A566" s="24"/>
      <c r="B566" s="24"/>
    </row>
    <row r="567" spans="1:2" ht="13.5" customHeight="1" x14ac:dyDescent="0.2">
      <c r="A567" s="24"/>
      <c r="B567" s="24"/>
    </row>
    <row r="568" spans="1:2" ht="13.5" customHeight="1" x14ac:dyDescent="0.2">
      <c r="A568" s="24"/>
      <c r="B568" s="24"/>
    </row>
    <row r="569" spans="1:2" ht="13.5" customHeight="1" x14ac:dyDescent="0.2">
      <c r="A569" s="24"/>
      <c r="B569" s="24"/>
    </row>
    <row r="570" spans="1:2" ht="13.5" customHeight="1" x14ac:dyDescent="0.2">
      <c r="A570" s="24"/>
      <c r="B570" s="24"/>
    </row>
    <row r="571" spans="1:2" ht="13.5" customHeight="1" x14ac:dyDescent="0.2">
      <c r="A571" s="24"/>
      <c r="B571" s="24"/>
    </row>
    <row r="572" spans="1:2" ht="13.5" customHeight="1" x14ac:dyDescent="0.2">
      <c r="A572" s="24"/>
      <c r="B572" s="24"/>
    </row>
    <row r="573" spans="1:2" ht="13.5" customHeight="1" x14ac:dyDescent="0.2">
      <c r="A573" s="24"/>
      <c r="B573" s="24"/>
    </row>
    <row r="574" spans="1:2" ht="13.5" customHeight="1" x14ac:dyDescent="0.2">
      <c r="A574" s="24"/>
      <c r="B574" s="24"/>
    </row>
    <row r="575" spans="1:2" ht="13.5" customHeight="1" x14ac:dyDescent="0.2">
      <c r="A575" s="24"/>
      <c r="B575" s="24"/>
    </row>
    <row r="576" spans="1:2" ht="13.5" customHeight="1" x14ac:dyDescent="0.2">
      <c r="A576" s="24"/>
      <c r="B576" s="24"/>
    </row>
    <row r="577" spans="1:2" ht="13.5" customHeight="1" x14ac:dyDescent="0.2">
      <c r="A577" s="24"/>
      <c r="B577" s="24"/>
    </row>
    <row r="578" spans="1:2" ht="13.5" customHeight="1" x14ac:dyDescent="0.2">
      <c r="A578" s="24"/>
      <c r="B578" s="24"/>
    </row>
    <row r="579" spans="1:2" ht="13.5" customHeight="1" x14ac:dyDescent="0.2">
      <c r="A579" s="24"/>
      <c r="B579" s="24"/>
    </row>
    <row r="580" spans="1:2" ht="13.5" customHeight="1" x14ac:dyDescent="0.2">
      <c r="A580" s="24"/>
      <c r="B580" s="24"/>
    </row>
    <row r="581" spans="1:2" ht="13.5" customHeight="1" x14ac:dyDescent="0.2">
      <c r="A581" s="24"/>
      <c r="B581" s="24"/>
    </row>
    <row r="582" spans="1:2" ht="13.5" customHeight="1" x14ac:dyDescent="0.2">
      <c r="A582" s="24"/>
      <c r="B582" s="24"/>
    </row>
    <row r="583" spans="1:2" ht="13.5" customHeight="1" x14ac:dyDescent="0.2">
      <c r="A583" s="24"/>
      <c r="B583" s="24"/>
    </row>
    <row r="584" spans="1:2" ht="13.5" customHeight="1" x14ac:dyDescent="0.2">
      <c r="A584" s="24"/>
      <c r="B584" s="24"/>
    </row>
    <row r="585" spans="1:2" ht="13.5" customHeight="1" x14ac:dyDescent="0.2">
      <c r="A585" s="24"/>
      <c r="B585" s="24"/>
    </row>
    <row r="586" spans="1:2" ht="13.5" customHeight="1" x14ac:dyDescent="0.2">
      <c r="A586" s="24"/>
      <c r="B586" s="24"/>
    </row>
    <row r="587" spans="1:2" ht="13.5" customHeight="1" x14ac:dyDescent="0.2">
      <c r="A587" s="24"/>
      <c r="B587" s="24"/>
    </row>
    <row r="588" spans="1:2" ht="13.5" customHeight="1" x14ac:dyDescent="0.2">
      <c r="A588" s="24"/>
      <c r="B588" s="24"/>
    </row>
    <row r="589" spans="1:2" ht="13.5" customHeight="1" x14ac:dyDescent="0.2">
      <c r="A589" s="24"/>
      <c r="B589" s="24"/>
    </row>
    <row r="590" spans="1:2" ht="13.5" customHeight="1" x14ac:dyDescent="0.2">
      <c r="A590" s="24"/>
      <c r="B590" s="24"/>
    </row>
    <row r="591" spans="1:2" ht="13.5" customHeight="1" x14ac:dyDescent="0.2">
      <c r="A591" s="24"/>
      <c r="B591" s="24"/>
    </row>
    <row r="592" spans="1:2" ht="13.5" customHeight="1" x14ac:dyDescent="0.2">
      <c r="A592" s="24"/>
      <c r="B592" s="24"/>
    </row>
    <row r="593" spans="1:2" ht="13.5" customHeight="1" x14ac:dyDescent="0.2">
      <c r="A593" s="24"/>
      <c r="B593" s="24"/>
    </row>
    <row r="594" spans="1:2" ht="13.5" customHeight="1" x14ac:dyDescent="0.2">
      <c r="A594" s="24"/>
      <c r="B594" s="24"/>
    </row>
    <row r="595" spans="1:2" ht="13.5" customHeight="1" x14ac:dyDescent="0.2">
      <c r="A595" s="24"/>
      <c r="B595" s="24"/>
    </row>
    <row r="596" spans="1:2" ht="13.5" customHeight="1" x14ac:dyDescent="0.2">
      <c r="A596" s="24"/>
      <c r="B596" s="24"/>
    </row>
    <row r="597" spans="1:2" ht="13.5" customHeight="1" x14ac:dyDescent="0.2">
      <c r="A597" s="24"/>
      <c r="B597" s="24"/>
    </row>
    <row r="598" spans="1:2" ht="13.5" customHeight="1" x14ac:dyDescent="0.2">
      <c r="A598" s="24"/>
      <c r="B598" s="24"/>
    </row>
    <row r="599" spans="1:2" ht="13.5" customHeight="1" x14ac:dyDescent="0.2">
      <c r="A599" s="24"/>
      <c r="B599" s="24"/>
    </row>
    <row r="600" spans="1:2" ht="13.5" customHeight="1" x14ac:dyDescent="0.2">
      <c r="A600" s="24"/>
      <c r="B600" s="24"/>
    </row>
    <row r="601" spans="1:2" ht="13.5" customHeight="1" x14ac:dyDescent="0.2">
      <c r="A601" s="24"/>
      <c r="B601" s="24"/>
    </row>
    <row r="602" spans="1:2" ht="13.5" customHeight="1" x14ac:dyDescent="0.2">
      <c r="A602" s="24"/>
      <c r="B602" s="24"/>
    </row>
    <row r="603" spans="1:2" ht="13.5" customHeight="1" x14ac:dyDescent="0.2">
      <c r="A603" s="24"/>
      <c r="B603" s="24"/>
    </row>
    <row r="604" spans="1:2" ht="13.5" customHeight="1" x14ac:dyDescent="0.2">
      <c r="A604" s="24"/>
      <c r="B604" s="24"/>
    </row>
    <row r="605" spans="1:2" ht="13.5" customHeight="1" x14ac:dyDescent="0.2">
      <c r="A605" s="24"/>
      <c r="B605" s="24"/>
    </row>
    <row r="606" spans="1:2" ht="13.5" customHeight="1" x14ac:dyDescent="0.2">
      <c r="A606" s="24"/>
      <c r="B606" s="24"/>
    </row>
    <row r="607" spans="1:2" ht="13.5" customHeight="1" x14ac:dyDescent="0.2">
      <c r="A607" s="24"/>
      <c r="B607" s="24"/>
    </row>
    <row r="608" spans="1:2" ht="13.5" customHeight="1" x14ac:dyDescent="0.2">
      <c r="A608" s="24"/>
      <c r="B608" s="24"/>
    </row>
    <row r="609" spans="1:2" ht="13.5" customHeight="1" x14ac:dyDescent="0.2">
      <c r="A609" s="24"/>
      <c r="B609" s="24"/>
    </row>
    <row r="610" spans="1:2" ht="13.5" customHeight="1" x14ac:dyDescent="0.2">
      <c r="A610" s="24"/>
      <c r="B610" s="24"/>
    </row>
    <row r="611" spans="1:2" ht="13.5" customHeight="1" x14ac:dyDescent="0.2">
      <c r="A611" s="24"/>
      <c r="B611" s="24"/>
    </row>
    <row r="612" spans="1:2" ht="13.5" customHeight="1" x14ac:dyDescent="0.2">
      <c r="A612" s="24"/>
      <c r="B612" s="24"/>
    </row>
    <row r="613" spans="1:2" ht="13.5" customHeight="1" x14ac:dyDescent="0.2">
      <c r="A613" s="24"/>
      <c r="B613" s="24"/>
    </row>
    <row r="614" spans="1:2" ht="13.5" customHeight="1" x14ac:dyDescent="0.2">
      <c r="A614" s="24"/>
      <c r="B614" s="24"/>
    </row>
    <row r="615" spans="1:2" ht="13.5" customHeight="1" x14ac:dyDescent="0.2">
      <c r="A615" s="24"/>
      <c r="B615" s="24"/>
    </row>
    <row r="616" spans="1:2" ht="13.5" customHeight="1" x14ac:dyDescent="0.2">
      <c r="A616" s="24"/>
      <c r="B616" s="24"/>
    </row>
    <row r="617" spans="1:2" ht="13.5" customHeight="1" x14ac:dyDescent="0.2">
      <c r="A617" s="24"/>
      <c r="B617" s="24"/>
    </row>
    <row r="618" spans="1:2" ht="13.5" customHeight="1" x14ac:dyDescent="0.2">
      <c r="A618" s="24"/>
      <c r="B618" s="24"/>
    </row>
    <row r="619" spans="1:2" ht="13.5" customHeight="1" x14ac:dyDescent="0.2">
      <c r="A619" s="24"/>
      <c r="B619" s="24"/>
    </row>
    <row r="620" spans="1:2" ht="13.5" customHeight="1" x14ac:dyDescent="0.2">
      <c r="A620" s="24"/>
      <c r="B620" s="24"/>
    </row>
    <row r="621" spans="1:2" ht="13.5" customHeight="1" x14ac:dyDescent="0.2">
      <c r="A621" s="24"/>
      <c r="B621" s="24"/>
    </row>
    <row r="622" spans="1:2" ht="13.5" customHeight="1" x14ac:dyDescent="0.2">
      <c r="A622" s="24"/>
      <c r="B622" s="24"/>
    </row>
    <row r="623" spans="1:2" ht="13.5" customHeight="1" x14ac:dyDescent="0.2">
      <c r="A623" s="24"/>
      <c r="B623" s="24"/>
    </row>
    <row r="624" spans="1:2" ht="13.5" customHeight="1" x14ac:dyDescent="0.2">
      <c r="A624" s="24"/>
      <c r="B624" s="24"/>
    </row>
    <row r="625" spans="1:2" ht="13.5" customHeight="1" x14ac:dyDescent="0.2">
      <c r="A625" s="24"/>
      <c r="B625" s="24"/>
    </row>
    <row r="626" spans="1:2" ht="13.5" customHeight="1" x14ac:dyDescent="0.2">
      <c r="A626" s="24"/>
      <c r="B626" s="24"/>
    </row>
    <row r="627" spans="1:2" ht="13.5" customHeight="1" x14ac:dyDescent="0.2">
      <c r="A627" s="24"/>
      <c r="B627" s="24"/>
    </row>
    <row r="628" spans="1:2" ht="13.5" customHeight="1" x14ac:dyDescent="0.2">
      <c r="A628" s="24"/>
      <c r="B628" s="24"/>
    </row>
    <row r="629" spans="1:2" ht="13.5" customHeight="1" x14ac:dyDescent="0.2">
      <c r="A629" s="24"/>
      <c r="B629" s="24"/>
    </row>
    <row r="630" spans="1:2" ht="13.5" customHeight="1" x14ac:dyDescent="0.2">
      <c r="A630" s="24"/>
      <c r="B630" s="24"/>
    </row>
    <row r="631" spans="1:2" ht="13.5" customHeight="1" x14ac:dyDescent="0.2">
      <c r="A631" s="24"/>
      <c r="B631" s="24"/>
    </row>
    <row r="632" spans="1:2" ht="13.5" customHeight="1" x14ac:dyDescent="0.2">
      <c r="A632" s="24"/>
      <c r="B632" s="24"/>
    </row>
    <row r="633" spans="1:2" ht="13.5" customHeight="1" x14ac:dyDescent="0.2">
      <c r="A633" s="24"/>
      <c r="B633" s="24"/>
    </row>
    <row r="634" spans="1:2" ht="13.5" customHeight="1" x14ac:dyDescent="0.2">
      <c r="A634" s="24"/>
      <c r="B634" s="24"/>
    </row>
    <row r="635" spans="1:2" ht="13.5" customHeight="1" x14ac:dyDescent="0.2">
      <c r="A635" s="24"/>
      <c r="B635" s="24"/>
    </row>
    <row r="636" spans="1:2" ht="13.5" customHeight="1" x14ac:dyDescent="0.2">
      <c r="A636" s="24"/>
      <c r="B636" s="24"/>
    </row>
    <row r="637" spans="1:2" ht="13.5" customHeight="1" x14ac:dyDescent="0.2">
      <c r="A637" s="24"/>
      <c r="B637" s="24"/>
    </row>
    <row r="638" spans="1:2" ht="13.5" customHeight="1" x14ac:dyDescent="0.2">
      <c r="A638" s="24"/>
      <c r="B638" s="24"/>
    </row>
    <row r="639" spans="1:2" ht="13.5" customHeight="1" x14ac:dyDescent="0.2">
      <c r="A639" s="24"/>
      <c r="B639" s="24"/>
    </row>
    <row r="640" spans="1:2" ht="13.5" customHeight="1" x14ac:dyDescent="0.2">
      <c r="A640" s="24"/>
      <c r="B640" s="24"/>
    </row>
    <row r="641" spans="1:2" ht="13.5" customHeight="1" x14ac:dyDescent="0.2">
      <c r="A641" s="24"/>
      <c r="B641" s="24"/>
    </row>
    <row r="642" spans="1:2" ht="13.5" customHeight="1" x14ac:dyDescent="0.2">
      <c r="A642" s="24"/>
      <c r="B642" s="24"/>
    </row>
    <row r="643" spans="1:2" ht="13.5" customHeight="1" x14ac:dyDescent="0.2">
      <c r="A643" s="24"/>
      <c r="B643" s="24"/>
    </row>
    <row r="644" spans="1:2" ht="13.5" customHeight="1" x14ac:dyDescent="0.2">
      <c r="A644" s="24"/>
      <c r="B644" s="24"/>
    </row>
    <row r="645" spans="1:2" ht="13.5" customHeight="1" x14ac:dyDescent="0.2">
      <c r="A645" s="24"/>
      <c r="B645" s="24"/>
    </row>
    <row r="646" spans="1:2" ht="13.5" customHeight="1" x14ac:dyDescent="0.2">
      <c r="A646" s="24"/>
      <c r="B646" s="24"/>
    </row>
    <row r="647" spans="1:2" ht="13.5" customHeight="1" x14ac:dyDescent="0.2">
      <c r="A647" s="24"/>
      <c r="B647" s="24"/>
    </row>
    <row r="648" spans="1:2" ht="13.5" customHeight="1" x14ac:dyDescent="0.2">
      <c r="A648" s="24"/>
      <c r="B648" s="24"/>
    </row>
    <row r="649" spans="1:2" ht="13.5" customHeight="1" x14ac:dyDescent="0.2">
      <c r="A649" s="24"/>
      <c r="B649" s="24"/>
    </row>
    <row r="650" spans="1:2" ht="13.5" customHeight="1" x14ac:dyDescent="0.2">
      <c r="A650" s="24"/>
      <c r="B650" s="24"/>
    </row>
    <row r="651" spans="1:2" ht="13.5" customHeight="1" x14ac:dyDescent="0.2">
      <c r="A651" s="24"/>
      <c r="B651" s="24"/>
    </row>
    <row r="652" spans="1:2" ht="13.5" customHeight="1" x14ac:dyDescent="0.2">
      <c r="A652" s="24"/>
      <c r="B652" s="24"/>
    </row>
    <row r="653" spans="1:2" ht="13.5" customHeight="1" x14ac:dyDescent="0.2">
      <c r="A653" s="24"/>
      <c r="B653" s="24"/>
    </row>
    <row r="654" spans="1:2" ht="13.5" customHeight="1" x14ac:dyDescent="0.2">
      <c r="A654" s="24"/>
      <c r="B654" s="24"/>
    </row>
    <row r="655" spans="1:2" ht="13.5" customHeight="1" x14ac:dyDescent="0.2">
      <c r="A655" s="24"/>
      <c r="B655" s="24"/>
    </row>
    <row r="656" spans="1:2" ht="13.5" customHeight="1" x14ac:dyDescent="0.2">
      <c r="A656" s="24"/>
      <c r="B656" s="24"/>
    </row>
    <row r="657" spans="1:2" ht="13.5" customHeight="1" x14ac:dyDescent="0.2">
      <c r="A657" s="24"/>
      <c r="B657" s="24"/>
    </row>
    <row r="658" spans="1:2" ht="13.5" customHeight="1" x14ac:dyDescent="0.2">
      <c r="A658" s="24"/>
      <c r="B658" s="24"/>
    </row>
    <row r="659" spans="1:2" ht="13.5" customHeight="1" x14ac:dyDescent="0.2">
      <c r="A659" s="24"/>
      <c r="B659" s="24"/>
    </row>
    <row r="660" spans="1:2" ht="13.5" customHeight="1" x14ac:dyDescent="0.2">
      <c r="A660" s="24"/>
      <c r="B660" s="24"/>
    </row>
    <row r="661" spans="1:2" ht="13.5" customHeight="1" x14ac:dyDescent="0.2">
      <c r="A661" s="24"/>
      <c r="B661" s="24"/>
    </row>
    <row r="662" spans="1:2" ht="13.5" customHeight="1" x14ac:dyDescent="0.2">
      <c r="A662" s="24"/>
      <c r="B662" s="24"/>
    </row>
    <row r="663" spans="1:2" ht="13.5" customHeight="1" x14ac:dyDescent="0.2">
      <c r="A663" s="24"/>
      <c r="B663" s="24"/>
    </row>
    <row r="664" spans="1:2" ht="13.5" customHeight="1" x14ac:dyDescent="0.2">
      <c r="A664" s="24"/>
      <c r="B664" s="24"/>
    </row>
    <row r="665" spans="1:2" ht="13.5" customHeight="1" x14ac:dyDescent="0.2">
      <c r="A665" s="24"/>
      <c r="B665" s="24"/>
    </row>
    <row r="666" spans="1:2" ht="13.5" customHeight="1" x14ac:dyDescent="0.2">
      <c r="A666" s="24"/>
      <c r="B666" s="24"/>
    </row>
    <row r="667" spans="1:2" ht="13.5" customHeight="1" x14ac:dyDescent="0.2">
      <c r="A667" s="24"/>
      <c r="B667" s="24"/>
    </row>
    <row r="668" spans="1:2" ht="13.5" customHeight="1" x14ac:dyDescent="0.2">
      <c r="A668" s="24"/>
      <c r="B668" s="24"/>
    </row>
    <row r="669" spans="1:2" ht="13.5" customHeight="1" x14ac:dyDescent="0.2">
      <c r="A669" s="24"/>
      <c r="B669" s="24"/>
    </row>
    <row r="670" spans="1:2" ht="13.5" customHeight="1" x14ac:dyDescent="0.2">
      <c r="A670" s="24"/>
      <c r="B670" s="24"/>
    </row>
    <row r="671" spans="1:2" ht="13.5" customHeight="1" x14ac:dyDescent="0.2">
      <c r="A671" s="24"/>
      <c r="B671" s="24"/>
    </row>
    <row r="672" spans="1:2" ht="13.5" customHeight="1" x14ac:dyDescent="0.2">
      <c r="A672" s="24"/>
      <c r="B672" s="24"/>
    </row>
    <row r="673" spans="1:2" ht="13.5" customHeight="1" x14ac:dyDescent="0.2">
      <c r="A673" s="24"/>
      <c r="B673" s="24"/>
    </row>
    <row r="674" spans="1:2" ht="13.5" customHeight="1" x14ac:dyDescent="0.2">
      <c r="A674" s="24"/>
      <c r="B674" s="24"/>
    </row>
    <row r="675" spans="1:2" ht="13.5" customHeight="1" x14ac:dyDescent="0.2">
      <c r="A675" s="24"/>
      <c r="B675" s="24"/>
    </row>
    <row r="676" spans="1:2" ht="13.5" customHeight="1" x14ac:dyDescent="0.2">
      <c r="A676" s="24"/>
      <c r="B676" s="24"/>
    </row>
    <row r="677" spans="1:2" ht="13.5" customHeight="1" x14ac:dyDescent="0.2">
      <c r="A677" s="24"/>
      <c r="B677" s="24"/>
    </row>
    <row r="678" spans="1:2" ht="13.5" customHeight="1" x14ac:dyDescent="0.2">
      <c r="A678" s="24"/>
      <c r="B678" s="24"/>
    </row>
    <row r="679" spans="1:2" ht="13.5" customHeight="1" x14ac:dyDescent="0.2">
      <c r="A679" s="24"/>
      <c r="B679" s="24"/>
    </row>
    <row r="680" spans="1:2" ht="13.5" customHeight="1" x14ac:dyDescent="0.2">
      <c r="A680" s="24"/>
      <c r="B680" s="24"/>
    </row>
    <row r="681" spans="1:2" ht="13.5" customHeight="1" x14ac:dyDescent="0.2">
      <c r="A681" s="24"/>
      <c r="B681" s="24"/>
    </row>
    <row r="682" spans="1:2" ht="13.5" customHeight="1" x14ac:dyDescent="0.2">
      <c r="A682" s="24"/>
      <c r="B682" s="24"/>
    </row>
    <row r="683" spans="1:2" ht="13.5" customHeight="1" x14ac:dyDescent="0.2">
      <c r="A683" s="24"/>
      <c r="B683" s="24"/>
    </row>
    <row r="684" spans="1:2" ht="13.5" customHeight="1" x14ac:dyDescent="0.2">
      <c r="A684" s="24"/>
      <c r="B684" s="24"/>
    </row>
    <row r="685" spans="1:2" ht="13.5" customHeight="1" x14ac:dyDescent="0.2">
      <c r="A685" s="24"/>
      <c r="B685" s="24"/>
    </row>
    <row r="686" spans="1:2" ht="13.5" customHeight="1" x14ac:dyDescent="0.2">
      <c r="A686" s="24"/>
      <c r="B686" s="24"/>
    </row>
    <row r="687" spans="1:2" ht="13.5" customHeight="1" x14ac:dyDescent="0.2">
      <c r="A687" s="24"/>
      <c r="B687" s="24"/>
    </row>
    <row r="688" spans="1:2" ht="13.5" customHeight="1" x14ac:dyDescent="0.2">
      <c r="A688" s="24"/>
      <c r="B688" s="24"/>
    </row>
    <row r="689" spans="1:2" ht="13.5" customHeight="1" x14ac:dyDescent="0.2">
      <c r="A689" s="24"/>
      <c r="B689" s="24"/>
    </row>
    <row r="690" spans="1:2" ht="13.5" customHeight="1" x14ac:dyDescent="0.2">
      <c r="A690" s="24"/>
      <c r="B690" s="24"/>
    </row>
    <row r="691" spans="1:2" ht="13.5" customHeight="1" x14ac:dyDescent="0.2">
      <c r="A691" s="24"/>
      <c r="B691" s="24"/>
    </row>
    <row r="692" spans="1:2" ht="13.5" customHeight="1" x14ac:dyDescent="0.2">
      <c r="A692" s="24"/>
      <c r="B692" s="24"/>
    </row>
    <row r="693" spans="1:2" ht="13.5" customHeight="1" x14ac:dyDescent="0.2">
      <c r="A693" s="24"/>
      <c r="B693" s="24"/>
    </row>
    <row r="694" spans="1:2" ht="13.5" customHeight="1" x14ac:dyDescent="0.2">
      <c r="A694" s="24"/>
      <c r="B694" s="24"/>
    </row>
    <row r="695" spans="1:2" ht="13.5" customHeight="1" x14ac:dyDescent="0.2">
      <c r="A695" s="24"/>
      <c r="B695" s="24"/>
    </row>
    <row r="696" spans="1:2" ht="13.5" customHeight="1" x14ac:dyDescent="0.2">
      <c r="A696" s="24"/>
      <c r="B696" s="24"/>
    </row>
    <row r="697" spans="1:2" ht="13.5" customHeight="1" x14ac:dyDescent="0.2">
      <c r="A697" s="24"/>
      <c r="B697" s="24"/>
    </row>
    <row r="698" spans="1:2" ht="13.5" customHeight="1" x14ac:dyDescent="0.2">
      <c r="A698" s="24"/>
      <c r="B698" s="24"/>
    </row>
    <row r="699" spans="1:2" ht="13.5" customHeight="1" x14ac:dyDescent="0.2">
      <c r="A699" s="24"/>
      <c r="B699" s="24"/>
    </row>
    <row r="700" spans="1:2" ht="13.5" customHeight="1" x14ac:dyDescent="0.2">
      <c r="A700" s="24"/>
      <c r="B700" s="24"/>
    </row>
    <row r="701" spans="1:2" ht="13.5" customHeight="1" x14ac:dyDescent="0.2">
      <c r="A701" s="24"/>
      <c r="B701" s="24"/>
    </row>
    <row r="702" spans="1:2" ht="13.5" customHeight="1" x14ac:dyDescent="0.2">
      <c r="A702" s="24"/>
      <c r="B702" s="24"/>
    </row>
    <row r="703" spans="1:2" ht="13.5" customHeight="1" x14ac:dyDescent="0.2">
      <c r="A703" s="24"/>
      <c r="B703" s="24"/>
    </row>
    <row r="704" spans="1:2" ht="13.5" customHeight="1" x14ac:dyDescent="0.2">
      <c r="A704" s="24"/>
      <c r="B704" s="24"/>
    </row>
    <row r="705" spans="1:2" ht="13.5" customHeight="1" x14ac:dyDescent="0.2">
      <c r="A705" s="24"/>
      <c r="B705" s="24"/>
    </row>
    <row r="706" spans="1:2" ht="13.5" customHeight="1" x14ac:dyDescent="0.2">
      <c r="A706" s="24"/>
      <c r="B706" s="24"/>
    </row>
    <row r="707" spans="1:2" ht="13.5" customHeight="1" x14ac:dyDescent="0.2">
      <c r="A707" s="24"/>
      <c r="B707" s="24"/>
    </row>
    <row r="708" spans="1:2" ht="13.5" customHeight="1" x14ac:dyDescent="0.2">
      <c r="A708" s="24"/>
      <c r="B708" s="24"/>
    </row>
    <row r="709" spans="1:2" ht="13.5" customHeight="1" x14ac:dyDescent="0.2">
      <c r="A709" s="24"/>
      <c r="B709" s="24"/>
    </row>
    <row r="710" spans="1:2" ht="13.5" customHeight="1" x14ac:dyDescent="0.2">
      <c r="A710" s="24"/>
      <c r="B710" s="24"/>
    </row>
    <row r="711" spans="1:2" ht="13.5" customHeight="1" x14ac:dyDescent="0.2">
      <c r="A711" s="24"/>
      <c r="B711" s="24"/>
    </row>
    <row r="712" spans="1:2" ht="13.5" customHeight="1" x14ac:dyDescent="0.2">
      <c r="A712" s="24"/>
      <c r="B712" s="24"/>
    </row>
    <row r="713" spans="1:2" ht="13.5" customHeight="1" x14ac:dyDescent="0.2">
      <c r="A713" s="24"/>
      <c r="B713" s="24"/>
    </row>
    <row r="714" spans="1:2" ht="13.5" customHeight="1" x14ac:dyDescent="0.2">
      <c r="A714" s="24"/>
      <c r="B714" s="24"/>
    </row>
    <row r="715" spans="1:2" ht="13.5" customHeight="1" x14ac:dyDescent="0.2">
      <c r="A715" s="24"/>
      <c r="B715" s="24"/>
    </row>
    <row r="716" spans="1:2" ht="13.5" customHeight="1" x14ac:dyDescent="0.2">
      <c r="A716" s="24"/>
      <c r="B716" s="24"/>
    </row>
    <row r="717" spans="1:2" ht="13.5" customHeight="1" x14ac:dyDescent="0.2">
      <c r="A717" s="24"/>
      <c r="B717" s="24"/>
    </row>
    <row r="718" spans="1:2" ht="13.5" customHeight="1" x14ac:dyDescent="0.2">
      <c r="A718" s="24"/>
      <c r="B718" s="24"/>
    </row>
    <row r="719" spans="1:2" ht="13.5" customHeight="1" x14ac:dyDescent="0.2">
      <c r="A719" s="24"/>
      <c r="B719" s="24"/>
    </row>
    <row r="720" spans="1:2" ht="13.5" customHeight="1" x14ac:dyDescent="0.2">
      <c r="A720" s="24"/>
      <c r="B720" s="24"/>
    </row>
    <row r="721" spans="1:2" ht="13.5" customHeight="1" x14ac:dyDescent="0.2">
      <c r="A721" s="24"/>
      <c r="B721" s="24"/>
    </row>
    <row r="722" spans="1:2" ht="13.5" customHeight="1" x14ac:dyDescent="0.2">
      <c r="A722" s="24"/>
      <c r="B722" s="24"/>
    </row>
    <row r="723" spans="1:2" ht="13.5" customHeight="1" x14ac:dyDescent="0.2">
      <c r="A723" s="24"/>
      <c r="B723" s="24"/>
    </row>
    <row r="724" spans="1:2" ht="13.5" customHeight="1" x14ac:dyDescent="0.2">
      <c r="A724" s="24"/>
      <c r="B724" s="24"/>
    </row>
    <row r="725" spans="1:2" ht="13.5" customHeight="1" x14ac:dyDescent="0.2">
      <c r="A725" s="24"/>
      <c r="B725" s="24"/>
    </row>
    <row r="726" spans="1:2" ht="13.5" customHeight="1" x14ac:dyDescent="0.2">
      <c r="A726" s="24"/>
      <c r="B726" s="24"/>
    </row>
    <row r="727" spans="1:2" ht="13.5" customHeight="1" x14ac:dyDescent="0.2">
      <c r="A727" s="24"/>
      <c r="B727" s="24"/>
    </row>
    <row r="728" spans="1:2" ht="13.5" customHeight="1" x14ac:dyDescent="0.2">
      <c r="A728" s="24"/>
      <c r="B728" s="24"/>
    </row>
    <row r="729" spans="1:2" ht="13.5" customHeight="1" x14ac:dyDescent="0.2">
      <c r="A729" s="24"/>
      <c r="B729" s="24"/>
    </row>
    <row r="730" spans="1:2" ht="13.5" customHeight="1" x14ac:dyDescent="0.2">
      <c r="A730" s="24"/>
      <c r="B730" s="24"/>
    </row>
    <row r="731" spans="1:2" ht="13.5" customHeight="1" x14ac:dyDescent="0.2">
      <c r="A731" s="24"/>
      <c r="B731" s="24"/>
    </row>
    <row r="732" spans="1:2" ht="13.5" customHeight="1" x14ac:dyDescent="0.2">
      <c r="A732" s="24"/>
      <c r="B732" s="24"/>
    </row>
    <row r="733" spans="1:2" ht="13.5" customHeight="1" x14ac:dyDescent="0.2">
      <c r="A733" s="24"/>
      <c r="B733" s="24"/>
    </row>
    <row r="734" spans="1:2" ht="13.5" customHeight="1" x14ac:dyDescent="0.2">
      <c r="A734" s="24"/>
      <c r="B734" s="24"/>
    </row>
    <row r="735" spans="1:2" ht="13.5" customHeight="1" x14ac:dyDescent="0.2">
      <c r="A735" s="24"/>
      <c r="B735" s="24"/>
    </row>
    <row r="736" spans="1:2" ht="13.5" customHeight="1" x14ac:dyDescent="0.2">
      <c r="A736" s="24"/>
      <c r="B736" s="24"/>
    </row>
    <row r="737" spans="1:2" ht="13.5" customHeight="1" x14ac:dyDescent="0.2">
      <c r="A737" s="24"/>
      <c r="B737" s="24"/>
    </row>
    <row r="738" spans="1:2" ht="13.5" customHeight="1" x14ac:dyDescent="0.2">
      <c r="A738" s="24"/>
      <c r="B738" s="24"/>
    </row>
    <row r="739" spans="1:2" ht="13.5" customHeight="1" x14ac:dyDescent="0.2">
      <c r="A739" s="24"/>
      <c r="B739" s="24"/>
    </row>
    <row r="740" spans="1:2" ht="13.5" customHeight="1" x14ac:dyDescent="0.2">
      <c r="A740" s="24"/>
      <c r="B740" s="24"/>
    </row>
    <row r="741" spans="1:2" ht="13.5" customHeight="1" x14ac:dyDescent="0.2">
      <c r="A741" s="24"/>
      <c r="B741" s="24"/>
    </row>
    <row r="742" spans="1:2" ht="13.5" customHeight="1" x14ac:dyDescent="0.2">
      <c r="A742" s="24"/>
      <c r="B742" s="24"/>
    </row>
    <row r="743" spans="1:2" ht="13.5" customHeight="1" x14ac:dyDescent="0.2">
      <c r="A743" s="24"/>
      <c r="B743" s="24"/>
    </row>
    <row r="744" spans="1:2" ht="13.5" customHeight="1" x14ac:dyDescent="0.2">
      <c r="A744" s="24"/>
      <c r="B744" s="24"/>
    </row>
    <row r="745" spans="1:2" ht="13.5" customHeight="1" x14ac:dyDescent="0.2">
      <c r="A745" s="24"/>
      <c r="B745" s="24"/>
    </row>
    <row r="746" spans="1:2" ht="13.5" customHeight="1" x14ac:dyDescent="0.2">
      <c r="A746" s="24"/>
      <c r="B746" s="24"/>
    </row>
    <row r="747" spans="1:2" ht="13.5" customHeight="1" x14ac:dyDescent="0.2">
      <c r="A747" s="24"/>
      <c r="B747" s="24"/>
    </row>
    <row r="748" spans="1:2" ht="13.5" customHeight="1" x14ac:dyDescent="0.2">
      <c r="A748" s="24"/>
      <c r="B748" s="24"/>
    </row>
    <row r="749" spans="1:2" ht="13.5" customHeight="1" x14ac:dyDescent="0.2">
      <c r="A749" s="24"/>
      <c r="B749" s="24"/>
    </row>
    <row r="750" spans="1:2" ht="13.5" customHeight="1" x14ac:dyDescent="0.2">
      <c r="A750" s="24"/>
      <c r="B750" s="24"/>
    </row>
    <row r="751" spans="1:2" ht="13.5" customHeight="1" x14ac:dyDescent="0.2">
      <c r="A751" s="24"/>
      <c r="B751" s="24"/>
    </row>
    <row r="752" spans="1:2" ht="13.5" customHeight="1" x14ac:dyDescent="0.2">
      <c r="A752" s="24"/>
      <c r="B752" s="24"/>
    </row>
    <row r="753" spans="1:2" ht="13.5" customHeight="1" x14ac:dyDescent="0.2">
      <c r="A753" s="24"/>
      <c r="B753" s="24"/>
    </row>
    <row r="754" spans="1:2" ht="13.5" customHeight="1" x14ac:dyDescent="0.2">
      <c r="A754" s="24"/>
      <c r="B754" s="24"/>
    </row>
    <row r="755" spans="1:2" ht="13.5" customHeight="1" x14ac:dyDescent="0.2">
      <c r="A755" s="24"/>
      <c r="B755" s="24"/>
    </row>
    <row r="756" spans="1:2" ht="13.5" customHeight="1" x14ac:dyDescent="0.2">
      <c r="A756" s="24"/>
      <c r="B756" s="24"/>
    </row>
    <row r="757" spans="1:2" ht="13.5" customHeight="1" x14ac:dyDescent="0.2">
      <c r="A757" s="24"/>
      <c r="B757" s="24"/>
    </row>
    <row r="758" spans="1:2" ht="13.5" customHeight="1" x14ac:dyDescent="0.2">
      <c r="A758" s="24"/>
      <c r="B758" s="24"/>
    </row>
    <row r="759" spans="1:2" ht="13.5" customHeight="1" x14ac:dyDescent="0.2">
      <c r="A759" s="24"/>
      <c r="B759" s="24"/>
    </row>
    <row r="760" spans="1:2" ht="13.5" customHeight="1" x14ac:dyDescent="0.2">
      <c r="A760" s="24"/>
      <c r="B760" s="24"/>
    </row>
    <row r="761" spans="1:2" ht="13.5" customHeight="1" x14ac:dyDescent="0.2">
      <c r="A761" s="24"/>
      <c r="B761" s="24"/>
    </row>
    <row r="762" spans="1:2" ht="13.5" customHeight="1" x14ac:dyDescent="0.2">
      <c r="A762" s="24"/>
      <c r="B762" s="24"/>
    </row>
    <row r="763" spans="1:2" ht="13.5" customHeight="1" x14ac:dyDescent="0.2">
      <c r="A763" s="24"/>
      <c r="B763" s="24"/>
    </row>
    <row r="764" spans="1:2" ht="13.5" customHeight="1" x14ac:dyDescent="0.2">
      <c r="A764" s="24"/>
      <c r="B764" s="24"/>
    </row>
    <row r="765" spans="1:2" ht="13.5" customHeight="1" x14ac:dyDescent="0.2">
      <c r="A765" s="24"/>
      <c r="B765" s="24"/>
    </row>
    <row r="766" spans="1:2" ht="13.5" customHeight="1" x14ac:dyDescent="0.2">
      <c r="A766" s="24"/>
      <c r="B766" s="24"/>
    </row>
    <row r="767" spans="1:2" ht="13.5" customHeight="1" x14ac:dyDescent="0.2">
      <c r="A767" s="24"/>
      <c r="B767" s="24"/>
    </row>
    <row r="768" spans="1:2" ht="13.5" customHeight="1" x14ac:dyDescent="0.2">
      <c r="A768" s="24"/>
      <c r="B768" s="24"/>
    </row>
    <row r="769" spans="1:2" ht="13.5" customHeight="1" x14ac:dyDescent="0.2">
      <c r="A769" s="24"/>
      <c r="B769" s="24"/>
    </row>
    <row r="770" spans="1:2" ht="13.5" customHeight="1" x14ac:dyDescent="0.2">
      <c r="A770" s="24"/>
      <c r="B770" s="24"/>
    </row>
    <row r="771" spans="1:2" ht="13.5" customHeight="1" x14ac:dyDescent="0.2">
      <c r="A771" s="24"/>
      <c r="B771" s="24"/>
    </row>
    <row r="772" spans="1:2" ht="13.5" customHeight="1" x14ac:dyDescent="0.2">
      <c r="A772" s="24"/>
      <c r="B772" s="24"/>
    </row>
    <row r="773" spans="1:2" ht="13.5" customHeight="1" x14ac:dyDescent="0.2">
      <c r="A773" s="24"/>
      <c r="B773" s="24"/>
    </row>
    <row r="774" spans="1:2" ht="13.5" customHeight="1" x14ac:dyDescent="0.2">
      <c r="A774" s="24"/>
      <c r="B774" s="24"/>
    </row>
    <row r="775" spans="1:2" ht="13.5" customHeight="1" x14ac:dyDescent="0.2">
      <c r="A775" s="24"/>
      <c r="B775" s="24"/>
    </row>
    <row r="776" spans="1:2" ht="13.5" customHeight="1" x14ac:dyDescent="0.2">
      <c r="A776" s="24"/>
      <c r="B776" s="24"/>
    </row>
    <row r="777" spans="1:2" ht="13.5" customHeight="1" x14ac:dyDescent="0.2">
      <c r="A777" s="24"/>
      <c r="B777" s="24"/>
    </row>
    <row r="778" spans="1:2" ht="13.5" customHeight="1" x14ac:dyDescent="0.2">
      <c r="A778" s="24"/>
      <c r="B778" s="24"/>
    </row>
    <row r="779" spans="1:2" ht="13.5" customHeight="1" x14ac:dyDescent="0.2">
      <c r="A779" s="24"/>
      <c r="B779" s="24"/>
    </row>
    <row r="780" spans="1:2" ht="13.5" customHeight="1" x14ac:dyDescent="0.2">
      <c r="A780" s="24"/>
      <c r="B780" s="24"/>
    </row>
    <row r="781" spans="1:2" ht="13.5" customHeight="1" x14ac:dyDescent="0.2">
      <c r="A781" s="24"/>
      <c r="B781" s="24"/>
    </row>
    <row r="782" spans="1:2" ht="13.5" customHeight="1" x14ac:dyDescent="0.2">
      <c r="A782" s="24"/>
      <c r="B782" s="24"/>
    </row>
    <row r="783" spans="1:2" ht="13.5" customHeight="1" x14ac:dyDescent="0.2">
      <c r="A783" s="24"/>
      <c r="B783" s="24"/>
    </row>
    <row r="784" spans="1:2" ht="13.5" customHeight="1" x14ac:dyDescent="0.2">
      <c r="A784" s="24"/>
      <c r="B784" s="24"/>
    </row>
    <row r="785" spans="1:2" ht="13.5" customHeight="1" x14ac:dyDescent="0.2">
      <c r="A785" s="24"/>
      <c r="B785" s="24"/>
    </row>
    <row r="786" spans="1:2" ht="13.5" customHeight="1" x14ac:dyDescent="0.2">
      <c r="A786" s="24"/>
      <c r="B786" s="24"/>
    </row>
    <row r="787" spans="1:2" ht="13.5" customHeight="1" x14ac:dyDescent="0.2">
      <c r="A787" s="24"/>
      <c r="B787" s="24"/>
    </row>
    <row r="788" spans="1:2" ht="13.5" customHeight="1" x14ac:dyDescent="0.2">
      <c r="A788" s="24"/>
      <c r="B788" s="24"/>
    </row>
    <row r="789" spans="1:2" ht="13.5" customHeight="1" x14ac:dyDescent="0.2">
      <c r="A789" s="24"/>
      <c r="B789" s="24"/>
    </row>
    <row r="790" spans="1:2" ht="13.5" customHeight="1" x14ac:dyDescent="0.2">
      <c r="A790" s="24"/>
      <c r="B790" s="24"/>
    </row>
    <row r="791" spans="1:2" ht="13.5" customHeight="1" x14ac:dyDescent="0.2">
      <c r="A791" s="24"/>
      <c r="B791" s="24"/>
    </row>
    <row r="792" spans="1:2" ht="13.5" customHeight="1" x14ac:dyDescent="0.2">
      <c r="A792" s="24"/>
      <c r="B792" s="24"/>
    </row>
    <row r="793" spans="1:2" ht="13.5" customHeight="1" x14ac:dyDescent="0.2">
      <c r="A793" s="24"/>
      <c r="B793" s="24"/>
    </row>
    <row r="794" spans="1:2" ht="13.5" customHeight="1" x14ac:dyDescent="0.2">
      <c r="A794" s="24"/>
      <c r="B794" s="24"/>
    </row>
    <row r="795" spans="1:2" ht="13.5" customHeight="1" x14ac:dyDescent="0.2">
      <c r="A795" s="24"/>
      <c r="B795" s="24"/>
    </row>
    <row r="796" spans="1:2" ht="13.5" customHeight="1" x14ac:dyDescent="0.2">
      <c r="A796" s="24"/>
      <c r="B796" s="24"/>
    </row>
    <row r="797" spans="1:2" ht="13.5" customHeight="1" x14ac:dyDescent="0.2">
      <c r="A797" s="24"/>
      <c r="B797" s="24"/>
    </row>
    <row r="798" spans="1:2" ht="13.5" customHeight="1" x14ac:dyDescent="0.2">
      <c r="A798" s="24"/>
      <c r="B798" s="24"/>
    </row>
    <row r="799" spans="1:2" ht="13.5" customHeight="1" x14ac:dyDescent="0.2">
      <c r="A799" s="24"/>
      <c r="B799" s="24"/>
    </row>
    <row r="800" spans="1:2" ht="13.5" customHeight="1" x14ac:dyDescent="0.2">
      <c r="A800" s="24"/>
      <c r="B800" s="24"/>
    </row>
    <row r="801" spans="1:2" ht="13.5" customHeight="1" x14ac:dyDescent="0.2">
      <c r="A801" s="24"/>
      <c r="B801" s="24"/>
    </row>
    <row r="802" spans="1:2" ht="13.5" customHeight="1" x14ac:dyDescent="0.2">
      <c r="A802" s="24"/>
      <c r="B802" s="24"/>
    </row>
    <row r="803" spans="1:2" ht="13.5" customHeight="1" x14ac:dyDescent="0.2">
      <c r="A803" s="24"/>
      <c r="B803" s="24"/>
    </row>
    <row r="804" spans="1:2" ht="13.5" customHeight="1" x14ac:dyDescent="0.2">
      <c r="A804" s="24"/>
      <c r="B804" s="24"/>
    </row>
    <row r="805" spans="1:2" ht="13.5" customHeight="1" x14ac:dyDescent="0.2">
      <c r="A805" s="24"/>
      <c r="B805" s="24"/>
    </row>
    <row r="806" spans="1:2" ht="13.5" customHeight="1" x14ac:dyDescent="0.2">
      <c r="A806" s="24"/>
      <c r="B806" s="24"/>
    </row>
    <row r="807" spans="1:2" ht="13.5" customHeight="1" x14ac:dyDescent="0.2">
      <c r="A807" s="24"/>
      <c r="B807" s="24"/>
    </row>
    <row r="808" spans="1:2" ht="13.5" customHeight="1" x14ac:dyDescent="0.2">
      <c r="A808" s="24"/>
      <c r="B808" s="24"/>
    </row>
    <row r="809" spans="1:2" ht="13.5" customHeight="1" x14ac:dyDescent="0.2">
      <c r="A809" s="24"/>
      <c r="B809" s="24"/>
    </row>
    <row r="810" spans="1:2" ht="13.5" customHeight="1" x14ac:dyDescent="0.2">
      <c r="A810" s="24"/>
      <c r="B810" s="24"/>
    </row>
    <row r="811" spans="1:2" ht="13.5" customHeight="1" x14ac:dyDescent="0.2">
      <c r="A811" s="24"/>
      <c r="B811" s="24"/>
    </row>
    <row r="812" spans="1:2" ht="13.5" customHeight="1" x14ac:dyDescent="0.2">
      <c r="A812" s="24"/>
      <c r="B812" s="24"/>
    </row>
    <row r="813" spans="1:2" ht="13.5" customHeight="1" x14ac:dyDescent="0.2">
      <c r="A813" s="24"/>
      <c r="B813" s="24"/>
    </row>
    <row r="814" spans="1:2" ht="13.5" customHeight="1" x14ac:dyDescent="0.2">
      <c r="A814" s="24"/>
      <c r="B814" s="24"/>
    </row>
    <row r="815" spans="1:2" ht="13.5" customHeight="1" x14ac:dyDescent="0.2">
      <c r="A815" s="24"/>
      <c r="B815" s="24"/>
    </row>
    <row r="816" spans="1:2" ht="13.5" customHeight="1" x14ac:dyDescent="0.2">
      <c r="A816" s="24"/>
      <c r="B816" s="24"/>
    </row>
    <row r="817" spans="1:2" ht="13.5" customHeight="1" x14ac:dyDescent="0.2">
      <c r="A817" s="24"/>
      <c r="B817" s="24"/>
    </row>
    <row r="818" spans="1:2" ht="13.5" customHeight="1" x14ac:dyDescent="0.2">
      <c r="A818" s="24"/>
      <c r="B818" s="24"/>
    </row>
    <row r="819" spans="1:2" ht="13.5" customHeight="1" x14ac:dyDescent="0.2">
      <c r="A819" s="24"/>
      <c r="B819" s="24"/>
    </row>
    <row r="820" spans="1:2" ht="13.5" customHeight="1" x14ac:dyDescent="0.2">
      <c r="A820" s="24"/>
      <c r="B820" s="24"/>
    </row>
    <row r="821" spans="1:2" ht="13.5" customHeight="1" x14ac:dyDescent="0.2">
      <c r="A821" s="24"/>
      <c r="B821" s="24"/>
    </row>
    <row r="822" spans="1:2" ht="13.5" customHeight="1" x14ac:dyDescent="0.2">
      <c r="A822" s="24"/>
      <c r="B822" s="24"/>
    </row>
    <row r="823" spans="1:2" ht="13.5" customHeight="1" x14ac:dyDescent="0.2">
      <c r="A823" s="24"/>
      <c r="B823" s="24"/>
    </row>
    <row r="824" spans="1:2" ht="13.5" customHeight="1" x14ac:dyDescent="0.2">
      <c r="A824" s="24"/>
      <c r="B824" s="24"/>
    </row>
    <row r="825" spans="1:2" ht="13.5" customHeight="1" x14ac:dyDescent="0.2">
      <c r="A825" s="24"/>
      <c r="B825" s="24"/>
    </row>
    <row r="826" spans="1:2" ht="13.5" customHeight="1" x14ac:dyDescent="0.2">
      <c r="A826" s="24"/>
      <c r="B826" s="24"/>
    </row>
    <row r="827" spans="1:2" ht="13.5" customHeight="1" x14ac:dyDescent="0.2">
      <c r="A827" s="24"/>
      <c r="B827" s="24"/>
    </row>
    <row r="828" spans="1:2" ht="13.5" customHeight="1" x14ac:dyDescent="0.2">
      <c r="A828" s="24"/>
      <c r="B828" s="24"/>
    </row>
    <row r="829" spans="1:2" ht="13.5" customHeight="1" x14ac:dyDescent="0.2">
      <c r="A829" s="24"/>
      <c r="B829" s="24"/>
    </row>
    <row r="830" spans="1:2" ht="13.5" customHeight="1" x14ac:dyDescent="0.2">
      <c r="A830" s="24"/>
      <c r="B830" s="24"/>
    </row>
    <row r="831" spans="1:2" ht="13.5" customHeight="1" x14ac:dyDescent="0.2">
      <c r="A831" s="24"/>
      <c r="B831" s="24"/>
    </row>
    <row r="832" spans="1:2" ht="13.5" customHeight="1" x14ac:dyDescent="0.2">
      <c r="A832" s="24"/>
      <c r="B832" s="24"/>
    </row>
    <row r="833" spans="1:2" ht="13.5" customHeight="1" x14ac:dyDescent="0.2">
      <c r="A833" s="24"/>
      <c r="B833" s="24"/>
    </row>
    <row r="834" spans="1:2" ht="13.5" customHeight="1" x14ac:dyDescent="0.2">
      <c r="A834" s="24"/>
      <c r="B834" s="24"/>
    </row>
    <row r="835" spans="1:2" ht="13.5" customHeight="1" x14ac:dyDescent="0.2">
      <c r="A835" s="24"/>
      <c r="B835" s="24"/>
    </row>
    <row r="836" spans="1:2" ht="13.5" customHeight="1" x14ac:dyDescent="0.2">
      <c r="A836" s="24"/>
      <c r="B836" s="24"/>
    </row>
    <row r="837" spans="1:2" ht="13.5" customHeight="1" x14ac:dyDescent="0.2">
      <c r="A837" s="24"/>
      <c r="B837" s="24"/>
    </row>
    <row r="838" spans="1:2" ht="13.5" customHeight="1" x14ac:dyDescent="0.2">
      <c r="A838" s="24"/>
      <c r="B838" s="24"/>
    </row>
    <row r="839" spans="1:2" ht="13.5" customHeight="1" x14ac:dyDescent="0.2">
      <c r="A839" s="24"/>
      <c r="B839" s="24"/>
    </row>
    <row r="840" spans="1:2" ht="13.5" customHeight="1" x14ac:dyDescent="0.2">
      <c r="A840" s="24"/>
      <c r="B840" s="24"/>
    </row>
    <row r="841" spans="1:2" ht="13.5" customHeight="1" x14ac:dyDescent="0.2">
      <c r="A841" s="24"/>
      <c r="B841" s="24"/>
    </row>
    <row r="842" spans="1:2" ht="13.5" customHeight="1" x14ac:dyDescent="0.2">
      <c r="A842" s="24"/>
      <c r="B842" s="24"/>
    </row>
    <row r="843" spans="1:2" ht="13.5" customHeight="1" x14ac:dyDescent="0.2">
      <c r="A843" s="24"/>
      <c r="B843" s="24"/>
    </row>
    <row r="844" spans="1:2" ht="13.5" customHeight="1" x14ac:dyDescent="0.2">
      <c r="A844" s="24"/>
      <c r="B844" s="24"/>
    </row>
    <row r="845" spans="1:2" ht="13.5" customHeight="1" x14ac:dyDescent="0.2">
      <c r="A845" s="24"/>
      <c r="B845" s="24"/>
    </row>
    <row r="846" spans="1:2" ht="13.5" customHeight="1" x14ac:dyDescent="0.2">
      <c r="A846" s="24"/>
      <c r="B846" s="24"/>
    </row>
    <row r="847" spans="1:2" ht="13.5" customHeight="1" x14ac:dyDescent="0.2">
      <c r="A847" s="24"/>
      <c r="B847" s="24"/>
    </row>
    <row r="848" spans="1:2" ht="13.5" customHeight="1" x14ac:dyDescent="0.2">
      <c r="A848" s="24"/>
      <c r="B848" s="24"/>
    </row>
    <row r="849" spans="1:2" ht="13.5" customHeight="1" x14ac:dyDescent="0.2">
      <c r="A849" s="24"/>
      <c r="B849" s="24"/>
    </row>
    <row r="850" spans="1:2" ht="13.5" customHeight="1" x14ac:dyDescent="0.2">
      <c r="A850" s="24"/>
      <c r="B850" s="24"/>
    </row>
    <row r="851" spans="1:2" ht="13.5" customHeight="1" x14ac:dyDescent="0.2">
      <c r="A851" s="24"/>
      <c r="B851" s="24"/>
    </row>
    <row r="852" spans="1:2" ht="13.5" customHeight="1" x14ac:dyDescent="0.2">
      <c r="A852" s="24"/>
      <c r="B852" s="24"/>
    </row>
    <row r="853" spans="1:2" ht="13.5" customHeight="1" x14ac:dyDescent="0.2">
      <c r="A853" s="24"/>
      <c r="B853" s="24"/>
    </row>
    <row r="854" spans="1:2" ht="13.5" customHeight="1" x14ac:dyDescent="0.2">
      <c r="A854" s="24"/>
      <c r="B854" s="24"/>
    </row>
    <row r="855" spans="1:2" ht="13.5" customHeight="1" x14ac:dyDescent="0.2">
      <c r="A855" s="24"/>
      <c r="B855" s="24"/>
    </row>
    <row r="856" spans="1:2" ht="13.5" customHeight="1" x14ac:dyDescent="0.2">
      <c r="A856" s="24"/>
      <c r="B856" s="24"/>
    </row>
    <row r="857" spans="1:2" ht="13.5" customHeight="1" x14ac:dyDescent="0.2">
      <c r="A857" s="24"/>
      <c r="B857" s="24"/>
    </row>
    <row r="858" spans="1:2" ht="13.5" customHeight="1" x14ac:dyDescent="0.2">
      <c r="A858" s="24"/>
      <c r="B858" s="24"/>
    </row>
    <row r="859" spans="1:2" ht="13.5" customHeight="1" x14ac:dyDescent="0.2">
      <c r="A859" s="24"/>
      <c r="B859" s="24"/>
    </row>
    <row r="860" spans="1:2" ht="13.5" customHeight="1" x14ac:dyDescent="0.2">
      <c r="A860" s="24"/>
      <c r="B860" s="24"/>
    </row>
    <row r="861" spans="1:2" ht="13.5" customHeight="1" x14ac:dyDescent="0.2">
      <c r="A861" s="24"/>
      <c r="B861" s="24"/>
    </row>
    <row r="862" spans="1:2" ht="13.5" customHeight="1" x14ac:dyDescent="0.2">
      <c r="A862" s="24"/>
      <c r="B862" s="24"/>
    </row>
    <row r="863" spans="1:2" ht="13.5" customHeight="1" x14ac:dyDescent="0.2">
      <c r="A863" s="24"/>
      <c r="B863" s="24"/>
    </row>
    <row r="864" spans="1:2" ht="13.5" customHeight="1" x14ac:dyDescent="0.2">
      <c r="A864" s="24"/>
      <c r="B864" s="24"/>
    </row>
    <row r="865" spans="1:2" ht="13.5" customHeight="1" x14ac:dyDescent="0.2">
      <c r="A865" s="24"/>
      <c r="B865" s="24"/>
    </row>
    <row r="866" spans="1:2" ht="13.5" customHeight="1" x14ac:dyDescent="0.2">
      <c r="A866" s="24"/>
      <c r="B866" s="24"/>
    </row>
    <row r="867" spans="1:2" ht="13.5" customHeight="1" x14ac:dyDescent="0.2">
      <c r="A867" s="24"/>
      <c r="B867" s="24"/>
    </row>
    <row r="868" spans="1:2" ht="13.5" customHeight="1" x14ac:dyDescent="0.2">
      <c r="A868" s="24"/>
      <c r="B868" s="24"/>
    </row>
    <row r="869" spans="1:2" ht="13.5" customHeight="1" x14ac:dyDescent="0.2">
      <c r="A869" s="24"/>
      <c r="B869" s="24"/>
    </row>
    <row r="870" spans="1:2" ht="13.5" customHeight="1" x14ac:dyDescent="0.2">
      <c r="A870" s="24"/>
      <c r="B870" s="24"/>
    </row>
    <row r="871" spans="1:2" ht="13.5" customHeight="1" x14ac:dyDescent="0.2">
      <c r="A871" s="24"/>
      <c r="B871" s="24"/>
    </row>
    <row r="872" spans="1:2" ht="13.5" customHeight="1" x14ac:dyDescent="0.2">
      <c r="A872" s="24"/>
      <c r="B872" s="24"/>
    </row>
    <row r="873" spans="1:2" ht="13.5" customHeight="1" x14ac:dyDescent="0.2">
      <c r="A873" s="24"/>
      <c r="B873" s="24"/>
    </row>
    <row r="874" spans="1:2" ht="13.5" customHeight="1" x14ac:dyDescent="0.2">
      <c r="A874" s="24"/>
      <c r="B874" s="24"/>
    </row>
    <row r="875" spans="1:2" ht="13.5" customHeight="1" x14ac:dyDescent="0.2">
      <c r="A875" s="24"/>
      <c r="B875" s="24"/>
    </row>
    <row r="876" spans="1:2" ht="13.5" customHeight="1" x14ac:dyDescent="0.2">
      <c r="A876" s="24"/>
      <c r="B876" s="24"/>
    </row>
    <row r="877" spans="1:2" ht="13.5" customHeight="1" x14ac:dyDescent="0.2">
      <c r="A877" s="24"/>
      <c r="B877" s="24"/>
    </row>
    <row r="878" spans="1:2" ht="13.5" customHeight="1" x14ac:dyDescent="0.2">
      <c r="A878" s="24"/>
      <c r="B878" s="24"/>
    </row>
    <row r="879" spans="1:2" ht="13.5" customHeight="1" x14ac:dyDescent="0.2">
      <c r="A879" s="24"/>
      <c r="B879" s="24"/>
    </row>
    <row r="880" spans="1:2" ht="13.5" customHeight="1" x14ac:dyDescent="0.2">
      <c r="A880" s="24"/>
      <c r="B880" s="24"/>
    </row>
    <row r="881" spans="1:2" ht="13.5" customHeight="1" x14ac:dyDescent="0.2">
      <c r="A881" s="24"/>
      <c r="B881" s="24"/>
    </row>
    <row r="882" spans="1:2" ht="13.5" customHeight="1" x14ac:dyDescent="0.2">
      <c r="A882" s="24"/>
      <c r="B882" s="24"/>
    </row>
    <row r="883" spans="1:2" ht="13.5" customHeight="1" x14ac:dyDescent="0.2">
      <c r="A883" s="24"/>
      <c r="B883" s="24"/>
    </row>
    <row r="884" spans="1:2" ht="13.5" customHeight="1" x14ac:dyDescent="0.2">
      <c r="A884" s="24"/>
      <c r="B884" s="24"/>
    </row>
    <row r="885" spans="1:2" ht="13.5" customHeight="1" x14ac:dyDescent="0.2">
      <c r="A885" s="24"/>
      <c r="B885" s="24"/>
    </row>
    <row r="886" spans="1:2" ht="13.5" customHeight="1" x14ac:dyDescent="0.2">
      <c r="A886" s="24"/>
      <c r="B886" s="24"/>
    </row>
    <row r="887" spans="1:2" ht="13.5" customHeight="1" x14ac:dyDescent="0.2">
      <c r="A887" s="24"/>
      <c r="B887" s="24"/>
    </row>
    <row r="888" spans="1:2" ht="13.5" customHeight="1" x14ac:dyDescent="0.2">
      <c r="A888" s="24"/>
      <c r="B888" s="24"/>
    </row>
    <row r="889" spans="1:2" ht="13.5" customHeight="1" x14ac:dyDescent="0.2">
      <c r="A889" s="24"/>
      <c r="B889" s="24"/>
    </row>
    <row r="890" spans="1:2" ht="13.5" customHeight="1" x14ac:dyDescent="0.2">
      <c r="A890" s="24"/>
      <c r="B890" s="24"/>
    </row>
    <row r="891" spans="1:2" ht="13.5" customHeight="1" x14ac:dyDescent="0.2">
      <c r="A891" s="24"/>
      <c r="B891" s="24"/>
    </row>
    <row r="892" spans="1:2" ht="13.5" customHeight="1" x14ac:dyDescent="0.2">
      <c r="A892" s="24"/>
      <c r="B892" s="24"/>
    </row>
    <row r="893" spans="1:2" ht="13.5" customHeight="1" x14ac:dyDescent="0.2">
      <c r="A893" s="24"/>
      <c r="B893" s="24"/>
    </row>
    <row r="894" spans="1:2" ht="13.5" customHeight="1" x14ac:dyDescent="0.2">
      <c r="A894" s="24"/>
      <c r="B894" s="24"/>
    </row>
    <row r="895" spans="1:2" ht="13.5" customHeight="1" x14ac:dyDescent="0.2">
      <c r="A895" s="24"/>
      <c r="B895" s="24"/>
    </row>
    <row r="896" spans="1:2" ht="13.5" customHeight="1" x14ac:dyDescent="0.2">
      <c r="A896" s="24"/>
      <c r="B896" s="24"/>
    </row>
    <row r="897" spans="1:2" ht="13.5" customHeight="1" x14ac:dyDescent="0.2">
      <c r="A897" s="24"/>
      <c r="B897" s="24"/>
    </row>
    <row r="898" spans="1:2" ht="13.5" customHeight="1" x14ac:dyDescent="0.2">
      <c r="A898" s="24"/>
      <c r="B898" s="24"/>
    </row>
    <row r="899" spans="1:2" ht="13.5" customHeight="1" x14ac:dyDescent="0.2">
      <c r="A899" s="24"/>
      <c r="B899" s="24"/>
    </row>
    <row r="900" spans="1:2" ht="13.5" customHeight="1" x14ac:dyDescent="0.2">
      <c r="A900" s="24"/>
      <c r="B900" s="24"/>
    </row>
    <row r="901" spans="1:2" ht="13.5" customHeight="1" x14ac:dyDescent="0.2">
      <c r="A901" s="24"/>
      <c r="B901" s="24"/>
    </row>
    <row r="902" spans="1:2" ht="13.5" customHeight="1" x14ac:dyDescent="0.2">
      <c r="A902" s="24"/>
      <c r="B902" s="24"/>
    </row>
    <row r="903" spans="1:2" ht="13.5" customHeight="1" x14ac:dyDescent="0.2">
      <c r="A903" s="24"/>
      <c r="B903" s="24"/>
    </row>
    <row r="904" spans="1:2" ht="13.5" customHeight="1" x14ac:dyDescent="0.2">
      <c r="A904" s="24"/>
      <c r="B904" s="24"/>
    </row>
    <row r="905" spans="1:2" ht="13.5" customHeight="1" x14ac:dyDescent="0.2">
      <c r="A905" s="24"/>
      <c r="B905" s="24"/>
    </row>
    <row r="906" spans="1:2" ht="13.5" customHeight="1" x14ac:dyDescent="0.2">
      <c r="A906" s="24"/>
      <c r="B906" s="24"/>
    </row>
    <row r="907" spans="1:2" ht="13.5" customHeight="1" x14ac:dyDescent="0.2">
      <c r="A907" s="24"/>
      <c r="B907" s="24"/>
    </row>
    <row r="908" spans="1:2" ht="13.5" customHeight="1" x14ac:dyDescent="0.2">
      <c r="A908" s="24"/>
      <c r="B908" s="24"/>
    </row>
    <row r="909" spans="1:2" ht="13.5" customHeight="1" x14ac:dyDescent="0.2">
      <c r="A909" s="24"/>
      <c r="B909" s="24"/>
    </row>
    <row r="910" spans="1:2" ht="13.5" customHeight="1" x14ac:dyDescent="0.2">
      <c r="A910" s="24"/>
      <c r="B910" s="24"/>
    </row>
    <row r="911" spans="1:2" ht="13.5" customHeight="1" x14ac:dyDescent="0.2">
      <c r="A911" s="24"/>
      <c r="B911" s="24"/>
    </row>
    <row r="912" spans="1:2" ht="13.5" customHeight="1" x14ac:dyDescent="0.2">
      <c r="A912" s="24"/>
      <c r="B912" s="24"/>
    </row>
    <row r="913" spans="1:2" ht="13.5" customHeight="1" x14ac:dyDescent="0.2">
      <c r="A913" s="24"/>
      <c r="B913" s="24"/>
    </row>
    <row r="914" spans="1:2" ht="13.5" customHeight="1" x14ac:dyDescent="0.2">
      <c r="A914" s="24"/>
      <c r="B914" s="24"/>
    </row>
    <row r="915" spans="1:2" ht="13.5" customHeight="1" x14ac:dyDescent="0.2">
      <c r="A915" s="24"/>
      <c r="B915" s="24"/>
    </row>
    <row r="916" spans="1:2" ht="13.5" customHeight="1" x14ac:dyDescent="0.2">
      <c r="A916" s="24"/>
      <c r="B916" s="24"/>
    </row>
    <row r="917" spans="1:2" ht="13.5" customHeight="1" x14ac:dyDescent="0.2">
      <c r="A917" s="24"/>
      <c r="B917" s="24"/>
    </row>
    <row r="918" spans="1:2" ht="13.5" customHeight="1" x14ac:dyDescent="0.2">
      <c r="A918" s="24"/>
      <c r="B918" s="24"/>
    </row>
    <row r="919" spans="1:2" ht="13.5" customHeight="1" x14ac:dyDescent="0.2">
      <c r="A919" s="24"/>
      <c r="B919" s="24"/>
    </row>
    <row r="920" spans="1:2" ht="13.5" customHeight="1" x14ac:dyDescent="0.2">
      <c r="A920" s="24"/>
      <c r="B920" s="24"/>
    </row>
    <row r="921" spans="1:2" ht="13.5" customHeight="1" x14ac:dyDescent="0.2">
      <c r="A921" s="24"/>
      <c r="B921" s="24"/>
    </row>
    <row r="922" spans="1:2" ht="13.5" customHeight="1" x14ac:dyDescent="0.2">
      <c r="A922" s="24"/>
      <c r="B922" s="24"/>
    </row>
    <row r="923" spans="1:2" ht="13.5" customHeight="1" x14ac:dyDescent="0.2">
      <c r="A923" s="24"/>
      <c r="B923" s="24"/>
    </row>
    <row r="924" spans="1:2" ht="13.5" customHeight="1" x14ac:dyDescent="0.2">
      <c r="A924" s="24"/>
      <c r="B924" s="24"/>
    </row>
    <row r="925" spans="1:2" ht="13.5" customHeight="1" x14ac:dyDescent="0.2">
      <c r="A925" s="24"/>
      <c r="B925" s="24"/>
    </row>
    <row r="926" spans="1:2" ht="13.5" customHeight="1" x14ac:dyDescent="0.2">
      <c r="A926" s="24"/>
      <c r="B926" s="24"/>
    </row>
    <row r="927" spans="1:2" ht="13.5" customHeight="1" x14ac:dyDescent="0.2">
      <c r="A927" s="24"/>
      <c r="B927" s="24"/>
    </row>
    <row r="928" spans="1:2" ht="13.5" customHeight="1" x14ac:dyDescent="0.2">
      <c r="A928" s="24"/>
      <c r="B928" s="24"/>
    </row>
    <row r="929" spans="1:2" ht="13.5" customHeight="1" x14ac:dyDescent="0.2">
      <c r="A929" s="24"/>
      <c r="B929" s="24"/>
    </row>
    <row r="930" spans="1:2" ht="13.5" customHeight="1" x14ac:dyDescent="0.2">
      <c r="A930" s="24"/>
      <c r="B930" s="24"/>
    </row>
    <row r="931" spans="1:2" ht="13.5" customHeight="1" x14ac:dyDescent="0.2">
      <c r="A931" s="24"/>
      <c r="B931" s="24"/>
    </row>
    <row r="932" spans="1:2" ht="13.5" customHeight="1" x14ac:dyDescent="0.2">
      <c r="A932" s="24"/>
      <c r="B932" s="24"/>
    </row>
    <row r="933" spans="1:2" ht="13.5" customHeight="1" x14ac:dyDescent="0.2">
      <c r="A933" s="24"/>
      <c r="B933" s="24"/>
    </row>
    <row r="934" spans="1:2" ht="13.5" customHeight="1" x14ac:dyDescent="0.2">
      <c r="A934" s="24"/>
      <c r="B934" s="24"/>
    </row>
    <row r="935" spans="1:2" ht="13.5" customHeight="1" x14ac:dyDescent="0.2">
      <c r="A935" s="24"/>
      <c r="B935" s="24"/>
    </row>
    <row r="936" spans="1:2" ht="13.5" customHeight="1" x14ac:dyDescent="0.2">
      <c r="A936" s="24"/>
      <c r="B936" s="24"/>
    </row>
    <row r="937" spans="1:2" ht="13.5" customHeight="1" x14ac:dyDescent="0.2">
      <c r="A937" s="24"/>
      <c r="B937" s="24"/>
    </row>
    <row r="938" spans="1:2" ht="13.5" customHeight="1" x14ac:dyDescent="0.2">
      <c r="A938" s="24"/>
      <c r="B938" s="24"/>
    </row>
    <row r="939" spans="1:2" ht="13.5" customHeight="1" x14ac:dyDescent="0.2">
      <c r="A939" s="24"/>
      <c r="B939" s="24"/>
    </row>
    <row r="940" spans="1:2" ht="13.5" customHeight="1" x14ac:dyDescent="0.2">
      <c r="A940" s="24"/>
      <c r="B940" s="24"/>
    </row>
    <row r="941" spans="1:2" ht="13.5" customHeight="1" x14ac:dyDescent="0.2">
      <c r="A941" s="24"/>
      <c r="B941" s="24"/>
    </row>
    <row r="942" spans="1:2" ht="13.5" customHeight="1" x14ac:dyDescent="0.2">
      <c r="A942" s="24"/>
      <c r="B942" s="24"/>
    </row>
    <row r="943" spans="1:2" ht="13.5" customHeight="1" x14ac:dyDescent="0.2">
      <c r="A943" s="24"/>
      <c r="B943" s="24"/>
    </row>
    <row r="944" spans="1:2" ht="13.5" customHeight="1" x14ac:dyDescent="0.2">
      <c r="A944" s="24"/>
      <c r="B944" s="24"/>
    </row>
    <row r="945" spans="1:2" ht="13.5" customHeight="1" x14ac:dyDescent="0.2">
      <c r="A945" s="24"/>
      <c r="B945" s="24"/>
    </row>
    <row r="946" spans="1:2" ht="13.5" customHeight="1" x14ac:dyDescent="0.2">
      <c r="A946" s="24"/>
      <c r="B946" s="24"/>
    </row>
    <row r="947" spans="1:2" ht="13.5" customHeight="1" x14ac:dyDescent="0.2">
      <c r="A947" s="24"/>
      <c r="B947" s="24"/>
    </row>
    <row r="948" spans="1:2" ht="13.5" customHeight="1" x14ac:dyDescent="0.2">
      <c r="A948" s="24"/>
      <c r="B948" s="24"/>
    </row>
    <row r="949" spans="1:2" ht="13.5" customHeight="1" x14ac:dyDescent="0.2">
      <c r="A949" s="24"/>
      <c r="B949" s="24"/>
    </row>
    <row r="950" spans="1:2" ht="13.5" customHeight="1" x14ac:dyDescent="0.2">
      <c r="A950" s="24"/>
      <c r="B950" s="24"/>
    </row>
    <row r="951" spans="1:2" ht="13.5" customHeight="1" x14ac:dyDescent="0.2">
      <c r="A951" s="24"/>
      <c r="B951" s="24"/>
    </row>
    <row r="952" spans="1:2" ht="13.5" customHeight="1" x14ac:dyDescent="0.2">
      <c r="A952" s="24"/>
      <c r="B952" s="24"/>
    </row>
    <row r="953" spans="1:2" ht="13.5" customHeight="1" x14ac:dyDescent="0.2">
      <c r="A953" s="24"/>
      <c r="B953" s="24"/>
    </row>
    <row r="954" spans="1:2" ht="13.5" customHeight="1" x14ac:dyDescent="0.2">
      <c r="A954" s="24"/>
      <c r="B954" s="24"/>
    </row>
    <row r="955" spans="1:2" ht="13.5" customHeight="1" x14ac:dyDescent="0.2">
      <c r="A955" s="24"/>
      <c r="B955" s="24"/>
    </row>
    <row r="956" spans="1:2" ht="13.5" customHeight="1" x14ac:dyDescent="0.2">
      <c r="A956" s="24"/>
      <c r="B956" s="24"/>
    </row>
    <row r="957" spans="1:2" ht="13.5" customHeight="1" x14ac:dyDescent="0.2">
      <c r="A957" s="24"/>
      <c r="B957" s="24"/>
    </row>
    <row r="958" spans="1:2" ht="13.5" customHeight="1" x14ac:dyDescent="0.2">
      <c r="A958" s="24"/>
      <c r="B958" s="24"/>
    </row>
    <row r="959" spans="1:2" ht="13.5" customHeight="1" x14ac:dyDescent="0.2">
      <c r="A959" s="24"/>
      <c r="B959" s="24"/>
    </row>
    <row r="960" spans="1:2" ht="13.5" customHeight="1" x14ac:dyDescent="0.2">
      <c r="A960" s="24"/>
      <c r="B960" s="24"/>
    </row>
    <row r="961" spans="1:2" ht="13.5" customHeight="1" x14ac:dyDescent="0.2">
      <c r="A961" s="24"/>
      <c r="B961" s="24"/>
    </row>
    <row r="962" spans="1:2" ht="13.5" customHeight="1" x14ac:dyDescent="0.2">
      <c r="A962" s="24"/>
      <c r="B962" s="24"/>
    </row>
    <row r="963" spans="1:2" ht="13.5" customHeight="1" x14ac:dyDescent="0.2">
      <c r="A963" s="24"/>
      <c r="B963" s="24"/>
    </row>
    <row r="964" spans="1:2" ht="13.5" customHeight="1" x14ac:dyDescent="0.2">
      <c r="A964" s="24"/>
      <c r="B964" s="24"/>
    </row>
    <row r="965" spans="1:2" ht="13.5" customHeight="1" x14ac:dyDescent="0.2">
      <c r="A965" s="24"/>
      <c r="B965" s="24"/>
    </row>
    <row r="966" spans="1:2" ht="13.5" customHeight="1" x14ac:dyDescent="0.2">
      <c r="A966" s="24"/>
      <c r="B966" s="24"/>
    </row>
    <row r="967" spans="1:2" ht="13.5" customHeight="1" x14ac:dyDescent="0.2">
      <c r="A967" s="24"/>
      <c r="B967" s="24"/>
    </row>
    <row r="968" spans="1:2" ht="13.5" customHeight="1" x14ac:dyDescent="0.2">
      <c r="A968" s="24"/>
      <c r="B968" s="24"/>
    </row>
    <row r="969" spans="1:2" ht="13.5" customHeight="1" x14ac:dyDescent="0.2">
      <c r="A969" s="24"/>
      <c r="B969" s="24"/>
    </row>
    <row r="970" spans="1:2" ht="13.5" customHeight="1" x14ac:dyDescent="0.2">
      <c r="A970" s="24"/>
      <c r="B970" s="24"/>
    </row>
    <row r="971" spans="1:2" ht="13.5" customHeight="1" x14ac:dyDescent="0.2">
      <c r="A971" s="24"/>
      <c r="B971" s="24"/>
    </row>
    <row r="972" spans="1:2" ht="13.5" customHeight="1" x14ac:dyDescent="0.2">
      <c r="A972" s="24"/>
      <c r="B972" s="24"/>
    </row>
    <row r="973" spans="1:2" ht="13.5" customHeight="1" x14ac:dyDescent="0.2">
      <c r="A973" s="24"/>
      <c r="B973" s="24"/>
    </row>
    <row r="974" spans="1:2" ht="13.5" customHeight="1" x14ac:dyDescent="0.2">
      <c r="A974" s="24"/>
      <c r="B974" s="24"/>
    </row>
    <row r="975" spans="1:2" ht="13.5" customHeight="1" x14ac:dyDescent="0.2">
      <c r="A975" s="24"/>
      <c r="B975" s="24"/>
    </row>
    <row r="976" spans="1:2" ht="13.5" customHeight="1" x14ac:dyDescent="0.2">
      <c r="A976" s="24"/>
      <c r="B976" s="24"/>
    </row>
    <row r="977" spans="1:2" ht="13.5" customHeight="1" x14ac:dyDescent="0.2">
      <c r="A977" s="24"/>
      <c r="B977" s="24"/>
    </row>
    <row r="978" spans="1:2" ht="13.5" customHeight="1" x14ac:dyDescent="0.2">
      <c r="A978" s="24"/>
      <c r="B978" s="24"/>
    </row>
    <row r="979" spans="1:2" ht="13.5" customHeight="1" x14ac:dyDescent="0.2">
      <c r="A979" s="24"/>
      <c r="B979" s="24"/>
    </row>
    <row r="980" spans="1:2" ht="13.5" customHeight="1" x14ac:dyDescent="0.2">
      <c r="A980" s="24"/>
      <c r="B980" s="24"/>
    </row>
    <row r="981" spans="1:2" ht="13.5" customHeight="1" x14ac:dyDescent="0.2">
      <c r="A981" s="24"/>
      <c r="B981" s="24"/>
    </row>
    <row r="982" spans="1:2" ht="13.5" customHeight="1" x14ac:dyDescent="0.2">
      <c r="A982" s="24"/>
      <c r="B982" s="24"/>
    </row>
    <row r="983" spans="1:2" ht="13.5" customHeight="1" x14ac:dyDescent="0.2">
      <c r="A983" s="24"/>
      <c r="B983" s="24"/>
    </row>
    <row r="984" spans="1:2" ht="13.5" customHeight="1" x14ac:dyDescent="0.2">
      <c r="A984" s="24"/>
      <c r="B984" s="24"/>
    </row>
    <row r="985" spans="1:2" ht="13.5" customHeight="1" x14ac:dyDescent="0.2">
      <c r="A985" s="24"/>
      <c r="B985" s="24"/>
    </row>
    <row r="986" spans="1:2" ht="13.5" customHeight="1" x14ac:dyDescent="0.2">
      <c r="A986" s="24"/>
      <c r="B986" s="24"/>
    </row>
    <row r="987" spans="1:2" ht="13.5" customHeight="1" x14ac:dyDescent="0.2">
      <c r="A987" s="24"/>
      <c r="B987" s="24"/>
    </row>
    <row r="988" spans="1:2" ht="13.5" customHeight="1" x14ac:dyDescent="0.2">
      <c r="A988" s="24"/>
      <c r="B988" s="24"/>
    </row>
    <row r="989" spans="1:2" ht="13.5" customHeight="1" x14ac:dyDescent="0.2">
      <c r="A989" s="24"/>
      <c r="B989" s="24"/>
    </row>
    <row r="990" spans="1:2" ht="13.5" customHeight="1" x14ac:dyDescent="0.2">
      <c r="A990" s="24"/>
      <c r="B990" s="24"/>
    </row>
    <row r="991" spans="1:2" ht="13.5" customHeight="1" x14ac:dyDescent="0.2">
      <c r="A991" s="24"/>
      <c r="B991" s="24"/>
    </row>
    <row r="992" spans="1:2" ht="13.5" customHeight="1" x14ac:dyDescent="0.2">
      <c r="A992" s="24"/>
      <c r="B992" s="24"/>
    </row>
    <row r="993" spans="1:2" ht="13.5" customHeight="1" x14ac:dyDescent="0.2">
      <c r="A993" s="24"/>
      <c r="B993" s="24"/>
    </row>
    <row r="994" spans="1:2" ht="13.5" customHeight="1" x14ac:dyDescent="0.2">
      <c r="A994" s="24"/>
      <c r="B994" s="24"/>
    </row>
    <row r="995" spans="1:2" ht="13.5" customHeight="1" x14ac:dyDescent="0.2">
      <c r="A995" s="24"/>
      <c r="B995" s="24"/>
    </row>
    <row r="996" spans="1:2" ht="13.5" customHeight="1" x14ac:dyDescent="0.2">
      <c r="A996" s="24"/>
      <c r="B996" s="24"/>
    </row>
    <row r="997" spans="1:2" ht="13.5" customHeight="1" x14ac:dyDescent="0.2">
      <c r="A997" s="24"/>
      <c r="B997" s="24"/>
    </row>
    <row r="998" spans="1:2" ht="13.5" customHeight="1" x14ac:dyDescent="0.2">
      <c r="A998" s="24"/>
      <c r="B998" s="24"/>
    </row>
    <row r="999" spans="1:2" ht="13.5" customHeight="1" x14ac:dyDescent="0.2">
      <c r="A999" s="24"/>
      <c r="B999" s="24"/>
    </row>
    <row r="1000" spans="1:2" ht="13.5" customHeight="1" x14ac:dyDescent="0.2">
      <c r="A1000" s="24"/>
      <c r="B1000" s="24"/>
    </row>
    <row r="1001" spans="1:2" ht="13.5" customHeight="1" x14ac:dyDescent="0.2">
      <c r="A1001" s="24"/>
      <c r="B1001" s="24"/>
    </row>
    <row r="1002" spans="1:2" ht="13.5" customHeight="1" x14ac:dyDescent="0.2">
      <c r="A1002" s="24"/>
      <c r="B1002" s="24"/>
    </row>
    <row r="1003" spans="1:2" ht="13.5" customHeight="1" x14ac:dyDescent="0.2">
      <c r="A1003" s="24"/>
      <c r="B1003" s="24"/>
    </row>
    <row r="1004" spans="1:2" ht="13.5" customHeight="1" x14ac:dyDescent="0.2">
      <c r="A1004" s="24"/>
      <c r="B1004" s="24"/>
    </row>
    <row r="1005" spans="1:2" ht="13.5" customHeight="1" x14ac:dyDescent="0.2">
      <c r="A1005" s="24"/>
      <c r="B1005" s="24"/>
    </row>
    <row r="1006" spans="1:2" ht="13.5" customHeight="1" x14ac:dyDescent="0.2">
      <c r="A1006" s="24"/>
      <c r="B1006" s="24"/>
    </row>
    <row r="1007" spans="1:2" ht="13.5" customHeight="1" x14ac:dyDescent="0.2">
      <c r="A1007" s="24"/>
      <c r="B1007" s="24"/>
    </row>
    <row r="1008" spans="1:2" ht="13.5" customHeight="1" x14ac:dyDescent="0.2">
      <c r="A1008" s="24"/>
      <c r="B1008" s="24"/>
    </row>
    <row r="1009" spans="1:2" ht="13.5" customHeight="1" x14ac:dyDescent="0.2">
      <c r="A1009" s="24"/>
      <c r="B1009" s="24"/>
    </row>
    <row r="1010" spans="1:2" ht="13.5" customHeight="1" x14ac:dyDescent="0.2">
      <c r="A1010" s="24"/>
      <c r="B1010" s="24"/>
    </row>
    <row r="1011" spans="1:2" ht="13.5" customHeight="1" x14ac:dyDescent="0.2">
      <c r="A1011" s="24"/>
      <c r="B1011" s="24"/>
    </row>
    <row r="1012" spans="1:2" ht="13.5" customHeight="1" x14ac:dyDescent="0.2">
      <c r="A1012" s="24"/>
      <c r="B1012" s="24"/>
    </row>
    <row r="1013" spans="1:2" ht="13.5" customHeight="1" x14ac:dyDescent="0.2">
      <c r="A1013" s="24"/>
      <c r="B1013" s="24"/>
    </row>
    <row r="1014" spans="1:2" ht="13.5" customHeight="1" x14ac:dyDescent="0.2">
      <c r="A1014" s="24"/>
      <c r="B1014" s="24"/>
    </row>
    <row r="1015" spans="1:2" ht="13.5" customHeight="1" x14ac:dyDescent="0.2">
      <c r="A1015" s="24"/>
      <c r="B1015" s="24"/>
    </row>
    <row r="1016" spans="1:2" ht="13.5" customHeight="1" x14ac:dyDescent="0.2">
      <c r="A1016" s="24"/>
      <c r="B1016" s="24"/>
    </row>
    <row r="1017" spans="1:2" ht="13.5" customHeight="1" x14ac:dyDescent="0.2">
      <c r="A1017" s="24"/>
      <c r="B1017" s="24"/>
    </row>
    <row r="1018" spans="1:2" ht="13.5" customHeight="1" x14ac:dyDescent="0.2">
      <c r="A1018" s="24"/>
      <c r="B1018" s="24"/>
    </row>
    <row r="1019" spans="1:2" ht="13.5" customHeight="1" x14ac:dyDescent="0.2">
      <c r="A1019" s="24"/>
      <c r="B1019" s="24"/>
    </row>
    <row r="1020" spans="1:2" ht="13.5" customHeight="1" x14ac:dyDescent="0.2">
      <c r="A1020" s="24"/>
      <c r="B1020" s="24"/>
    </row>
    <row r="1021" spans="1:2" ht="13.5" customHeight="1" x14ac:dyDescent="0.2">
      <c r="A1021" s="24"/>
      <c r="B1021" s="24"/>
    </row>
    <row r="1022" spans="1:2" ht="13.5" customHeight="1" x14ac:dyDescent="0.2">
      <c r="A1022" s="24"/>
      <c r="B1022" s="24"/>
    </row>
    <row r="1023" spans="1:2" ht="13.5" customHeight="1" x14ac:dyDescent="0.2">
      <c r="A1023" s="24"/>
      <c r="B1023" s="24"/>
    </row>
    <row r="1024" spans="1:2" ht="13.5" customHeight="1" x14ac:dyDescent="0.2">
      <c r="A1024" s="24"/>
      <c r="B1024" s="24"/>
    </row>
    <row r="1025" spans="1:2" ht="13.5" customHeight="1" x14ac:dyDescent="0.2">
      <c r="A1025" s="24"/>
      <c r="B1025" s="24"/>
    </row>
    <row r="1026" spans="1:2" ht="13.5" customHeight="1" x14ac:dyDescent="0.2">
      <c r="A1026" s="24"/>
      <c r="B1026" s="24"/>
    </row>
    <row r="1027" spans="1:2" ht="13.5" customHeight="1" x14ac:dyDescent="0.2">
      <c r="A1027" s="24"/>
      <c r="B1027" s="24"/>
    </row>
    <row r="1028" spans="1:2" ht="13.5" customHeight="1" x14ac:dyDescent="0.2">
      <c r="A1028" s="24"/>
      <c r="B1028" s="24"/>
    </row>
    <row r="1029" spans="1:2" ht="13.5" customHeight="1" x14ac:dyDescent="0.2">
      <c r="A1029" s="24"/>
      <c r="B1029" s="24"/>
    </row>
    <row r="1030" spans="1:2" ht="13.5" customHeight="1" x14ac:dyDescent="0.2">
      <c r="A1030" s="24"/>
      <c r="B1030" s="24"/>
    </row>
    <row r="1031" spans="1:2" ht="13.5" customHeight="1" x14ac:dyDescent="0.2">
      <c r="A1031" s="24"/>
      <c r="B1031" s="24"/>
    </row>
    <row r="1032" spans="1:2" ht="13.5" customHeight="1" x14ac:dyDescent="0.2">
      <c r="A1032" s="24"/>
      <c r="B1032" s="24"/>
    </row>
    <row r="1033" spans="1:2" ht="13.5" customHeight="1" x14ac:dyDescent="0.2">
      <c r="A1033" s="24"/>
      <c r="B1033" s="24"/>
    </row>
    <row r="1034" spans="1:2" ht="13.5" customHeight="1" x14ac:dyDescent="0.2">
      <c r="A1034" s="24"/>
      <c r="B1034" s="24"/>
    </row>
    <row r="1035" spans="1:2" ht="13.5" customHeight="1" x14ac:dyDescent="0.2">
      <c r="A1035" s="24"/>
      <c r="B1035" s="24"/>
    </row>
    <row r="1036" spans="1:2" ht="13.5" customHeight="1" x14ac:dyDescent="0.2">
      <c r="A1036" s="24"/>
      <c r="B1036" s="24"/>
    </row>
  </sheetData>
  <mergeCells count="64">
    <mergeCell ref="H14:I18"/>
    <mergeCell ref="A20:E20"/>
    <mergeCell ref="C21:D21"/>
    <mergeCell ref="C22:D22"/>
    <mergeCell ref="C23:D23"/>
    <mergeCell ref="A1:E1"/>
    <mergeCell ref="A11:E11"/>
    <mergeCell ref="C12:D12"/>
    <mergeCell ref="C13:D13"/>
    <mergeCell ref="C17:D17"/>
    <mergeCell ref="C14:D14"/>
    <mergeCell ref="C16:D16"/>
    <mergeCell ref="C15:D15"/>
    <mergeCell ref="A56:C56"/>
    <mergeCell ref="A26:E26"/>
    <mergeCell ref="C27:D27"/>
    <mergeCell ref="C28:D28"/>
    <mergeCell ref="C29:D29"/>
    <mergeCell ref="A32:C32"/>
    <mergeCell ref="A34:C34"/>
    <mergeCell ref="A39:C40"/>
    <mergeCell ref="A46:C46"/>
    <mergeCell ref="A50:C50"/>
    <mergeCell ref="A53:C53"/>
    <mergeCell ref="A64:C64"/>
    <mergeCell ref="A71:E71"/>
    <mergeCell ref="A72:B72"/>
    <mergeCell ref="C72:D72"/>
    <mergeCell ref="A73:B73"/>
    <mergeCell ref="C73:D73"/>
    <mergeCell ref="A74:B77"/>
    <mergeCell ref="C74:D74"/>
    <mergeCell ref="C75:D75"/>
    <mergeCell ref="C77:D77"/>
    <mergeCell ref="A78:B78"/>
    <mergeCell ref="C78:D78"/>
    <mergeCell ref="C76:D76"/>
    <mergeCell ref="C79:D79"/>
    <mergeCell ref="A81:E81"/>
    <mergeCell ref="A82:B82"/>
    <mergeCell ref="C82:D82"/>
    <mergeCell ref="A83:B83"/>
    <mergeCell ref="C83:D83"/>
    <mergeCell ref="A84:B88"/>
    <mergeCell ref="C84:D84"/>
    <mergeCell ref="C85:D85"/>
    <mergeCell ref="C86:D86"/>
    <mergeCell ref="C87:D87"/>
    <mergeCell ref="C88:D88"/>
    <mergeCell ref="A89:B89"/>
    <mergeCell ref="C89:D89"/>
    <mergeCell ref="C90:D90"/>
    <mergeCell ref="A93:E93"/>
    <mergeCell ref="A94:B94"/>
    <mergeCell ref="C94:D94"/>
    <mergeCell ref="A99:B99"/>
    <mergeCell ref="C99:D99"/>
    <mergeCell ref="C100:D100"/>
    <mergeCell ref="A95:B95"/>
    <mergeCell ref="C95:D95"/>
    <mergeCell ref="A96:B98"/>
    <mergeCell ref="C96:D96"/>
    <mergeCell ref="C97:D97"/>
    <mergeCell ref="C98:D98"/>
  </mergeCells>
  <conditionalFormatting sqref="C8:C9 E73">
    <cfRule type="cellIs" dxfId="3" priority="1" operator="greaterThanOrEqual">
      <formula>0</formula>
    </cfRule>
    <cfRule type="cellIs" dxfId="2" priority="2" operator="lessThan">
      <formula>0</formula>
    </cfRule>
  </conditionalFormatting>
  <conditionalFormatting sqref="E79 E83 E90 E95 E100">
    <cfRule type="cellIs" dxfId="1" priority="3" operator="greaterThanOrEqual">
      <formula>0</formula>
    </cfRule>
    <cfRule type="cellIs" dxfId="0" priority="4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April 2026 - June 2026</vt:lpstr>
      <vt:lpstr>July 2026- September 2026</vt:lpstr>
      <vt:lpstr>October 2026- December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alantang</dc:creator>
  <dc:description/>
  <cp:lastModifiedBy>Sing Lun Alan Tang</cp:lastModifiedBy>
  <cp:revision>5</cp:revision>
  <dcterms:created xsi:type="dcterms:W3CDTF">2022-04-23T15:32:00Z</dcterms:created>
  <dcterms:modified xsi:type="dcterms:W3CDTF">2026-10-30T04:55:39Z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CC933F61E1FF404795DFDD3AF7B9E9A4_12</vt:lpwstr>
  </property>
  <property fmtid="{D5CDD505-2E9C-101B-9397-08002B2CF9AE}" pid="4" name="KSOProductBuildVer">
    <vt:lpwstr>1033-12.1.0.25830</vt:lpwstr>
  </property>
</Properties>
</file>